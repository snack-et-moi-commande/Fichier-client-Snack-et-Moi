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1_Crackers project\Clients\"/>
    </mc:Choice>
  </mc:AlternateContent>
  <xr:revisionPtr revIDLastSave="0" documentId="13_ncr:1_{481A6FD8-9827-452D-A8D6-FA2BD28A0F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ackers aux graines" sheetId="3" r:id="rId1"/>
    <sheet name="TXIPS" sheetId="4" r:id="rId2"/>
  </sheets>
  <definedNames>
    <definedName name="_xlnm.Print_Area" localSheetId="0">'Crackers aux graines'!$A$1:$H$53</definedName>
    <definedName name="_xlnm.Print_Area" localSheetId="1">TXIPS!$A$1:$H$22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4" l="1"/>
  <c r="H16" i="4"/>
  <c r="H15" i="4"/>
  <c r="H14" i="4"/>
  <c r="H17" i="4"/>
  <c r="H18" i="4"/>
  <c r="H52" i="3"/>
  <c r="H15" i="3"/>
  <c r="H16" i="3"/>
  <c r="H17" i="3"/>
  <c r="H18" i="3"/>
  <c r="H19" i="3"/>
  <c r="H20" i="3"/>
  <c r="H21" i="3"/>
  <c r="H22" i="3"/>
  <c r="H23" i="3"/>
  <c r="H27" i="3"/>
  <c r="H31" i="3"/>
  <c r="H32" i="3"/>
  <c r="H33" i="3"/>
  <c r="H34" i="3"/>
  <c r="H35" i="3"/>
  <c r="H36" i="3"/>
  <c r="H37" i="3"/>
  <c r="H38" i="3"/>
  <c r="H39" i="3"/>
  <c r="H40" i="3"/>
  <c r="H44" i="3"/>
  <c r="H48" i="3"/>
  <c r="H49" i="3"/>
  <c r="H50" i="3"/>
  <c r="H14" i="3"/>
  <c r="B35" i="3"/>
  <c r="B34" i="3"/>
  <c r="B33" i="3"/>
  <c r="B32" i="3"/>
  <c r="B31" i="3"/>
  <c r="H21" i="4" l="1"/>
</calcChain>
</file>

<file path=xl/sharedStrings.xml><?xml version="1.0" encoding="utf-8"?>
<sst xmlns="http://schemas.openxmlformats.org/spreadsheetml/2006/main" count="125" uniqueCount="85">
  <si>
    <t>Crackers salés en sachets individuels (conditionnement 12 par carton)</t>
  </si>
  <si>
    <t>Référence</t>
  </si>
  <si>
    <t>Descriptif</t>
  </si>
  <si>
    <t>Poids grs</t>
  </si>
  <si>
    <t>PV HT</t>
  </si>
  <si>
    <t>PV TTC</t>
  </si>
  <si>
    <t>Numéro code barres</t>
  </si>
  <si>
    <t>01Thym-100 grs</t>
  </si>
  <si>
    <t>Crackers bio au Thym 100 grs</t>
  </si>
  <si>
    <t>01Marrakech-100 grs</t>
  </si>
  <si>
    <t>Crackers bio au épices Marocaines 100 grs</t>
  </si>
  <si>
    <t>01Curry-100 grs</t>
  </si>
  <si>
    <t>Crackers bio au Curry Madras 100 grs</t>
  </si>
  <si>
    <t>01Nature-100 grs</t>
  </si>
  <si>
    <t>Crackers bio Nature 100 grs</t>
  </si>
  <si>
    <t>01Euskadi-100 grs</t>
  </si>
  <si>
    <t>Crackers bio au Piment d'Espelette 100 grs</t>
  </si>
  <si>
    <t>01Brebis-80 grs</t>
  </si>
  <si>
    <t>Crackers bio au Fromage de Brebis 80 grs</t>
  </si>
  <si>
    <t>Crackers salés en vrac sac de 1kg</t>
  </si>
  <si>
    <t>Références</t>
  </si>
  <si>
    <t>Poids kg</t>
  </si>
  <si>
    <t>02Curry</t>
  </si>
  <si>
    <t>02Thym</t>
  </si>
  <si>
    <t>02Nature</t>
  </si>
  <si>
    <t>02Marrakech</t>
  </si>
  <si>
    <t>02Euskadi</t>
  </si>
  <si>
    <t>02Brebis</t>
  </si>
  <si>
    <t>Crackers bio au Fromage de Brebis 1 kg</t>
  </si>
  <si>
    <t>Crackers sucrés en sachets individuels (conditionnement 12 par carton)</t>
  </si>
  <si>
    <t>04Chocolat_Noir-80grs</t>
  </si>
  <si>
    <t>Crackers bio sucrés au chocolat noir 80 grs</t>
  </si>
  <si>
    <t>3770031864649</t>
  </si>
  <si>
    <t>Crackers Sucrés en vrac sac de 1kg</t>
  </si>
  <si>
    <t>05Chocolat_Noir</t>
  </si>
  <si>
    <t>Crackers bio sucrés au chocolat noir 1 kg</t>
  </si>
  <si>
    <t>01Oignon_Crème-100 grs</t>
  </si>
  <si>
    <t>Crackers bio Crème Fraîche et Oignons 100 grs</t>
  </si>
  <si>
    <t>02Oignon_Crème</t>
  </si>
  <si>
    <t>Crackers bio Crème Fraîche et Oignons 1 kg</t>
  </si>
  <si>
    <t>02Tomate_HerbeProv</t>
  </si>
  <si>
    <t>01TomateHerbeProv-100 grs</t>
  </si>
  <si>
    <t>Crackers bio Tomate et Herbes de Provence 100 grs</t>
  </si>
  <si>
    <t>Crackers bio Tomate et Herbes de Provence 1 kg</t>
  </si>
  <si>
    <t>01Comté-80 grs</t>
  </si>
  <si>
    <t>Crackers bio au Comté AOP 80 grs</t>
  </si>
  <si>
    <t>02Comté</t>
  </si>
  <si>
    <t>Crackers bio au Comté AOP 1 kg</t>
  </si>
  <si>
    <t>06Mini_Euskadi-30 grs</t>
  </si>
  <si>
    <t>Mini Crackers bio au Piment d'Espelette 30 grs</t>
  </si>
  <si>
    <t>06Mini_Nature-30 grs</t>
  </si>
  <si>
    <t>Mini Crackers bio Nature 30 grs</t>
  </si>
  <si>
    <t>06Mini_Brebis-25 grs</t>
  </si>
  <si>
    <t>Mini Crackers bio au Fromage de Brebis 25 grs</t>
  </si>
  <si>
    <t>Crackers MINI salés en sachets individuels (conditionnement 30 par carton)</t>
  </si>
  <si>
    <t>Quantité</t>
  </si>
  <si>
    <t>Total</t>
  </si>
  <si>
    <t>Franco de port : 7 cartons ou 200 euros HT.</t>
  </si>
  <si>
    <t>BON DE COMMANDE</t>
  </si>
  <si>
    <t>Les fameux crackers de "Snack &amp; Moi" : sans gluten, bio, souvent vegan friendly et surtout carrément bon.</t>
  </si>
  <si>
    <t>20TX_Curry-90 grs</t>
  </si>
  <si>
    <t>20TX_Euskadi-90 grs</t>
  </si>
  <si>
    <t>20TX_Nature-90 grs</t>
  </si>
  <si>
    <t>20TX_Oignon-90 grs</t>
  </si>
  <si>
    <t>TXIPS bio au Curry Madras 90 grs</t>
  </si>
  <si>
    <t>TXIPS bio au Piment d'Espelette 90 grs</t>
  </si>
  <si>
    <t>02JambonSecBasque</t>
  </si>
  <si>
    <t>Crackers au Jambon sec Basque 1 kg</t>
  </si>
  <si>
    <t>Crackers au Jambon sec Basque 80 grs</t>
  </si>
  <si>
    <t>01JambonSecBasque-80 grs</t>
  </si>
  <si>
    <t>TXIPS bio Nature 90 grs</t>
  </si>
  <si>
    <t>20TX_Brebis-80 grs</t>
  </si>
  <si>
    <t>TXIPS bio au fromage de Brebis 80 grs</t>
  </si>
  <si>
    <t>20TX_Jambon-80 grs</t>
  </si>
  <si>
    <t>TXIPS au jambon sec Basque 80 grs</t>
  </si>
  <si>
    <t>TXIPS en sachets individuels (conditionnement 10 par carton)</t>
  </si>
  <si>
    <t>Les fameuses chips réinventées de "Snack &amp; Moi" : toujours sans gluten, souvent bio et vegan friendly, nutriscore A et surtout trop hummm !</t>
  </si>
  <si>
    <t>A-00231</t>
  </si>
  <si>
    <t>Ref LMB</t>
  </si>
  <si>
    <t>A-00232</t>
  </si>
  <si>
    <t>TXIPS bio Crème Oignons 90 grs</t>
  </si>
  <si>
    <t>A-00233</t>
  </si>
  <si>
    <t>A-00234</t>
  </si>
  <si>
    <t>A-00235</t>
  </si>
  <si>
    <t>A-00236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</si>
</sst>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4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5" borderId="7" applyNumberFormat="0" applyAlignment="0" applyProtection="0"/>
    <xf numFmtId="0" fontId="15" fillId="6" borderId="8" applyNumberFormat="0" applyAlignment="0" applyProtection="0"/>
    <xf numFmtId="0" fontId="16" fillId="6" borderId="7" applyNumberFormat="0" applyAlignment="0" applyProtection="0"/>
    <xf numFmtId="0" fontId="17" fillId="0" borderId="9" applyNumberFormat="0" applyFill="0" applyAlignment="0" applyProtection="0"/>
    <xf numFmtId="0" fontId="18" fillId="7" borderId="1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12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2" fillId="4" borderId="0" applyNumberFormat="0" applyBorder="0" applyAlignment="0" applyProtection="0"/>
    <xf numFmtId="0" fontId="1" fillId="8" borderId="11" applyNumberFormat="0" applyFont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1" fillId="28" borderId="0" applyNumberFormat="0" applyBorder="0" applyAlignment="0" applyProtection="0"/>
    <xf numFmtId="0" fontId="21" fillId="32" borderId="0" applyNumberFormat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44" fontId="2" fillId="0" borderId="3" xfId="1" applyFont="1" applyBorder="1" applyAlignment="1">
      <alignment horizontal="center" vertical="center"/>
    </xf>
    <xf numFmtId="44" fontId="0" fillId="0" borderId="3" xfId="1" applyFont="1" applyBorder="1"/>
    <xf numFmtId="44" fontId="0" fillId="0" borderId="0" xfId="1" applyFont="1"/>
    <xf numFmtId="44" fontId="2" fillId="0" borderId="0" xfId="1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1" fontId="6" fillId="0" borderId="0" xfId="0" applyNumberFormat="1" applyFont="1"/>
    <xf numFmtId="44" fontId="6" fillId="0" borderId="0" xfId="1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44" fontId="5" fillId="0" borderId="0" xfId="1" applyFont="1"/>
    <xf numFmtId="44" fontId="6" fillId="0" borderId="0" xfId="1" applyFont="1" applyAlignment="1">
      <alignment horizontal="center" vertical="center"/>
    </xf>
    <xf numFmtId="44" fontId="6" fillId="0" borderId="0" xfId="0" applyNumberFormat="1" applyFont="1"/>
    <xf numFmtId="1" fontId="1" fillId="0" borderId="3" xfId="35" applyNumberForma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8" fontId="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44">
    <cellStyle name="20 % - Accent1" xfId="18" builtinId="30" customBuiltin="1"/>
    <cellStyle name="20 % - Accent2" xfId="21" builtinId="34" customBuiltin="1"/>
    <cellStyle name="20 % - Accent3" xfId="24" builtinId="38" customBuiltin="1"/>
    <cellStyle name="20 % - Accent4" xfId="27" builtinId="42" customBuiltin="1"/>
    <cellStyle name="20 % - Accent5" xfId="30" builtinId="46" customBuiltin="1"/>
    <cellStyle name="20 % - Accent6" xfId="33" builtinId="50" customBuiltin="1"/>
    <cellStyle name="40 % - Accent1" xfId="19" builtinId="31" customBuiltin="1"/>
    <cellStyle name="40 % - Accent2" xfId="22" builtinId="35" customBuiltin="1"/>
    <cellStyle name="40 % - Accent3" xfId="25" builtinId="39" customBuiltin="1"/>
    <cellStyle name="40 % - Accent4" xfId="28" builtinId="43" customBuiltin="1"/>
    <cellStyle name="40 % - Accent5" xfId="31" builtinId="47" customBuiltin="1"/>
    <cellStyle name="40 % - Accent6" xfId="34" builtinId="51" customBuiltin="1"/>
    <cellStyle name="60 % - Accent1 2" xfId="38" xr:uid="{DE11EA7E-1EB7-4B00-920E-18C8CF6AB95C}"/>
    <cellStyle name="60 % - Accent2 2" xfId="39" xr:uid="{DFFAD307-9475-4C37-9690-4500042C6604}"/>
    <cellStyle name="60 % - Accent3 2" xfId="40" xr:uid="{C70B258A-7707-40AC-BDC5-80125E9BC50D}"/>
    <cellStyle name="60 % - Accent4 2" xfId="41" xr:uid="{9D384B24-8443-402C-A30B-787FB9E1687A}"/>
    <cellStyle name="60 % - Accent5 2" xfId="42" xr:uid="{F6D629F1-ED13-4F2D-8335-475122ECF995}"/>
    <cellStyle name="60 % - Accent6 2" xfId="43" xr:uid="{6087D600-324F-4514-8AAA-327B98719784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8" builtinId="27" customBuiltin="1"/>
    <cellStyle name="Monétaire" xfId="1" builtinId="4"/>
    <cellStyle name="Neutre 2" xfId="36" xr:uid="{221E4ADB-1FEC-4CBD-BB85-30288758E327}"/>
    <cellStyle name="Normal" xfId="0" builtinId="0"/>
    <cellStyle name="Normal 2" xfId="35" xr:uid="{DF0CACA1-6450-4035-A642-4F5A2252ACA9}"/>
    <cellStyle name="Note 2" xfId="37" xr:uid="{703414EC-573B-4F03-A828-4E0D6914AD0A}"/>
    <cellStyle name="Satisfaisant" xfId="7" builtinId="26" customBuiltin="1"/>
    <cellStyle name="Sortie" xfId="10" builtinId="21" customBuiltin="1"/>
    <cellStyle name="Texte explicatif" xfId="15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6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1127761</xdr:colOff>
      <xdr:row>0</xdr:row>
      <xdr:rowOff>152400</xdr:rowOff>
    </xdr:from>
    <xdr:to>
      <xdr:col>4</xdr:col>
      <xdr:colOff>7621</xdr:colOff>
      <xdr:row>6</xdr:row>
      <xdr:rowOff>185125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8FFD09D-8123-9D18-75DD-571BC34F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3741" y="152400"/>
          <a:ext cx="2857500" cy="1175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1686561</xdr:colOff>
      <xdr:row>0</xdr:row>
      <xdr:rowOff>68581</xdr:rowOff>
    </xdr:from>
    <xdr:to>
      <xdr:col>2</xdr:col>
      <xdr:colOff>533401</xdr:colOff>
      <xdr:row>6</xdr:row>
      <xdr:rowOff>186691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57AFD9F-3ABC-49F7-A269-4EA01B63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2541" y="68581"/>
          <a:ext cx="1681480" cy="1261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5CFC-21A5-4A04-BA88-09A60EEF8219}">
  <sheetPr>
    <pageSetUpPr fitToPage="1"/>
  </sheetPr>
  <dimension ref="A8:Y999"/>
  <sheetViews>
    <sheetView tabSelected="1" topLeftCell="A4" workbookViewId="0">
      <selection activeCell="C53" sqref="C52:C53"/>
    </sheetView>
  </sheetViews>
  <sheetFormatPr baseColWidth="10" defaultColWidth="14.44140625" defaultRowHeight="15" customHeight="1" x14ac:dyDescent="0.3"/>
  <cols>
    <col min="1" max="1" width="31" customWidth="1"/>
    <col min="2" max="2" width="41.33203125" bestFit="1" customWidth="1"/>
    <col min="3" max="4" width="8.33203125" customWidth="1"/>
    <col min="5" max="5" width="8.88671875" customWidth="1"/>
    <col min="6" max="6" width="18.44140625" customWidth="1"/>
    <col min="7" max="7" width="7.77734375" bestFit="1" customWidth="1"/>
    <col min="8" max="9" width="11.5546875" customWidth="1"/>
    <col min="10" max="25" width="10.6640625" customWidth="1"/>
  </cols>
  <sheetData>
    <row r="8" spans="1:25" ht="23.4" x14ac:dyDescent="0.45">
      <c r="A8" s="36" t="s">
        <v>58</v>
      </c>
      <c r="B8" s="36"/>
      <c r="C8" s="36"/>
      <c r="D8" s="36"/>
      <c r="E8" s="36"/>
      <c r="F8" s="36"/>
      <c r="G8" s="36"/>
      <c r="H8" s="36"/>
    </row>
    <row r="10" spans="1:25" ht="13.5" customHeight="1" x14ac:dyDescent="0.3">
      <c r="A10" s="37" t="s">
        <v>59</v>
      </c>
      <c r="B10" s="37"/>
      <c r="C10" s="37"/>
      <c r="D10" s="37"/>
      <c r="E10" s="37"/>
      <c r="F10" s="37"/>
      <c r="G10" s="37"/>
      <c r="H10" s="3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5" customHeight="1" x14ac:dyDescent="0.3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3">
      <c r="A12" s="24" t="s">
        <v>0</v>
      </c>
      <c r="B12" s="24"/>
      <c r="C12" s="24"/>
      <c r="D12" s="24"/>
      <c r="E12" s="24"/>
      <c r="F12" s="24"/>
      <c r="G12" s="25"/>
      <c r="H12" s="2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5" customHeight="1" x14ac:dyDescent="0.3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11" t="s">
        <v>6</v>
      </c>
      <c r="G13" s="18" t="s">
        <v>55</v>
      </c>
      <c r="H13" s="20" t="s">
        <v>56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5" customHeight="1" x14ac:dyDescent="0.3">
      <c r="A14" s="7" t="s">
        <v>7</v>
      </c>
      <c r="B14" s="7" t="s">
        <v>8</v>
      </c>
      <c r="C14" s="7">
        <v>100</v>
      </c>
      <c r="D14" s="8">
        <v>2.6</v>
      </c>
      <c r="E14" s="8">
        <v>3.9</v>
      </c>
      <c r="F14" s="11">
        <v>3770031864311</v>
      </c>
      <c r="G14" s="18"/>
      <c r="H14" s="20">
        <f>D14*G14</f>
        <v>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5" customHeight="1" x14ac:dyDescent="0.3">
      <c r="A15" s="7" t="s">
        <v>9</v>
      </c>
      <c r="B15" s="7" t="s">
        <v>10</v>
      </c>
      <c r="C15" s="7">
        <v>100</v>
      </c>
      <c r="D15" s="8">
        <v>2.6</v>
      </c>
      <c r="E15" s="8">
        <v>3.9</v>
      </c>
      <c r="F15" s="11">
        <v>3770031864298</v>
      </c>
      <c r="G15" s="18"/>
      <c r="H15" s="20">
        <f t="shared" ref="H15:H50" si="0">D15*G15</f>
        <v>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5" customHeight="1" x14ac:dyDescent="0.3">
      <c r="A16" s="7" t="s">
        <v>11</v>
      </c>
      <c r="B16" s="7" t="s">
        <v>12</v>
      </c>
      <c r="C16" s="7">
        <v>100</v>
      </c>
      <c r="D16" s="8">
        <v>2.6</v>
      </c>
      <c r="E16" s="8">
        <v>3.9</v>
      </c>
      <c r="F16" s="11">
        <v>3770031864328</v>
      </c>
      <c r="G16" s="18"/>
      <c r="H16" s="20">
        <f t="shared" si="0"/>
        <v>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5" customHeight="1" x14ac:dyDescent="0.3">
      <c r="A17" s="7" t="s">
        <v>13</v>
      </c>
      <c r="B17" s="7" t="s">
        <v>14</v>
      </c>
      <c r="C17" s="7">
        <v>100</v>
      </c>
      <c r="D17" s="8">
        <v>2.6</v>
      </c>
      <c r="E17" s="8">
        <v>3.9</v>
      </c>
      <c r="F17" s="11">
        <v>3770031864304</v>
      </c>
      <c r="G17" s="18"/>
      <c r="H17" s="20">
        <f t="shared" si="0"/>
        <v>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5" customHeight="1" x14ac:dyDescent="0.3">
      <c r="A18" s="7" t="s">
        <v>15</v>
      </c>
      <c r="B18" s="7" t="s">
        <v>16</v>
      </c>
      <c r="C18" s="7">
        <v>100</v>
      </c>
      <c r="D18" s="8">
        <v>2.6</v>
      </c>
      <c r="E18" s="8">
        <v>3.9</v>
      </c>
      <c r="F18" s="11">
        <v>3770031864281</v>
      </c>
      <c r="G18" s="18"/>
      <c r="H18" s="20">
        <f t="shared" si="0"/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5" customHeight="1" x14ac:dyDescent="0.3">
      <c r="A19" s="7" t="s">
        <v>17</v>
      </c>
      <c r="B19" s="7" t="s">
        <v>18</v>
      </c>
      <c r="C19" s="7">
        <v>80</v>
      </c>
      <c r="D19" s="8">
        <v>2.6</v>
      </c>
      <c r="E19" s="8">
        <v>3.9</v>
      </c>
      <c r="F19" s="11">
        <v>3770031864502</v>
      </c>
      <c r="G19" s="19"/>
      <c r="H19" s="21">
        <f t="shared" si="0"/>
        <v>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3.5" customHeight="1" x14ac:dyDescent="0.3">
      <c r="A20" s="7" t="s">
        <v>36</v>
      </c>
      <c r="B20" s="7" t="s">
        <v>37</v>
      </c>
      <c r="C20" s="7">
        <v>100</v>
      </c>
      <c r="D20" s="8">
        <v>2.6</v>
      </c>
      <c r="E20" s="8">
        <v>3.9</v>
      </c>
      <c r="F20" s="11">
        <v>3770031864601</v>
      </c>
      <c r="G20" s="19"/>
      <c r="H20" s="21">
        <f t="shared" si="0"/>
        <v>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3.5" customHeight="1" x14ac:dyDescent="0.3">
      <c r="A21" s="7" t="s">
        <v>41</v>
      </c>
      <c r="B21" s="7" t="s">
        <v>42</v>
      </c>
      <c r="C21" s="7">
        <v>100</v>
      </c>
      <c r="D21" s="8">
        <v>2.6</v>
      </c>
      <c r="E21" s="8">
        <v>3.9</v>
      </c>
      <c r="F21" s="11">
        <v>3770031864700</v>
      </c>
      <c r="G21" s="19"/>
      <c r="H21" s="21">
        <f t="shared" si="0"/>
        <v>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3.5" customHeight="1" x14ac:dyDescent="0.3">
      <c r="A22" s="7" t="s">
        <v>44</v>
      </c>
      <c r="B22" s="7" t="s">
        <v>45</v>
      </c>
      <c r="C22" s="7">
        <v>80</v>
      </c>
      <c r="D22" s="8">
        <v>2.6</v>
      </c>
      <c r="E22" s="8">
        <v>3.9</v>
      </c>
      <c r="F22" s="11">
        <v>3770031864779</v>
      </c>
      <c r="G22" s="19"/>
      <c r="H22" s="21">
        <f t="shared" si="0"/>
        <v>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3.5" customHeight="1" x14ac:dyDescent="0.3">
      <c r="A23" s="7" t="s">
        <v>69</v>
      </c>
      <c r="B23" s="7" t="s">
        <v>68</v>
      </c>
      <c r="C23" s="7">
        <v>80</v>
      </c>
      <c r="D23" s="8">
        <v>2.6</v>
      </c>
      <c r="E23" s="8">
        <v>3.9</v>
      </c>
      <c r="F23" s="11">
        <v>3770031864762</v>
      </c>
      <c r="G23" s="19"/>
      <c r="H23" s="21">
        <f t="shared" si="0"/>
        <v>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3.5" customHeight="1" x14ac:dyDescent="0.3">
      <c r="A24" s="4"/>
      <c r="B24" s="4"/>
      <c r="C24" s="4"/>
      <c r="D24" s="9"/>
      <c r="E24" s="9"/>
      <c r="F24" s="10"/>
      <c r="H24" s="2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s="28" customFormat="1" ht="13.5" customHeight="1" x14ac:dyDescent="0.3">
      <c r="A25" s="24" t="s">
        <v>29</v>
      </c>
      <c r="B25" s="24"/>
      <c r="C25" s="24"/>
      <c r="D25" s="24"/>
      <c r="E25" s="24"/>
      <c r="F25" s="26"/>
      <c r="G25" s="24"/>
      <c r="H25" s="27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13.5" customHeight="1" x14ac:dyDescent="0.3">
      <c r="A26" s="5" t="s">
        <v>1</v>
      </c>
      <c r="B26" s="5" t="s">
        <v>2</v>
      </c>
      <c r="C26" s="5" t="s">
        <v>3</v>
      </c>
      <c r="D26" s="5" t="s">
        <v>4</v>
      </c>
      <c r="E26" s="5" t="s">
        <v>5</v>
      </c>
      <c r="F26" s="6" t="s">
        <v>6</v>
      </c>
      <c r="G26" s="18" t="s">
        <v>55</v>
      </c>
      <c r="H26" s="20" t="s">
        <v>56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5" customHeight="1" x14ac:dyDescent="0.3">
      <c r="A27" s="7" t="s">
        <v>30</v>
      </c>
      <c r="B27" s="7" t="s">
        <v>31</v>
      </c>
      <c r="C27" s="7">
        <v>80</v>
      </c>
      <c r="D27" s="8">
        <v>2.6</v>
      </c>
      <c r="E27" s="8">
        <v>3.9</v>
      </c>
      <c r="F27" s="6" t="s">
        <v>32</v>
      </c>
      <c r="G27" s="18"/>
      <c r="H27" s="20">
        <f t="shared" si="0"/>
        <v>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5" customHeight="1" x14ac:dyDescent="0.3">
      <c r="A28" s="4"/>
      <c r="B28" s="4"/>
      <c r="C28" s="4"/>
      <c r="D28" s="9"/>
      <c r="E28" s="9"/>
      <c r="F28" s="10"/>
      <c r="G28" s="2"/>
      <c r="H28" s="2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s="28" customFormat="1" ht="13.5" customHeight="1" x14ac:dyDescent="0.3">
      <c r="A29" s="29" t="s">
        <v>19</v>
      </c>
      <c r="B29" s="24"/>
      <c r="C29" s="24"/>
      <c r="D29" s="24"/>
      <c r="E29" s="24"/>
      <c r="F29" s="26"/>
      <c r="H29" s="30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3.5" customHeight="1" x14ac:dyDescent="0.3">
      <c r="A30" s="5" t="s">
        <v>20</v>
      </c>
      <c r="B30" s="5" t="s">
        <v>2</v>
      </c>
      <c r="C30" s="5" t="s">
        <v>21</v>
      </c>
      <c r="D30" s="5" t="s">
        <v>4</v>
      </c>
      <c r="E30" s="5" t="s">
        <v>5</v>
      </c>
      <c r="F30" s="6" t="s">
        <v>6</v>
      </c>
      <c r="G30" s="18" t="s">
        <v>55</v>
      </c>
      <c r="H30" s="20" t="s">
        <v>56</v>
      </c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5" customHeight="1" x14ac:dyDescent="0.3">
      <c r="A31" s="7" t="s">
        <v>22</v>
      </c>
      <c r="B31" s="7" t="str">
        <f>"Crackers Bio au Curry Madras "&amp;C31&amp;" kg"</f>
        <v>Crackers Bio au Curry Madras 1 kg</v>
      </c>
      <c r="C31" s="7">
        <v>1</v>
      </c>
      <c r="D31" s="8">
        <v>21.5</v>
      </c>
      <c r="E31" s="8">
        <v>32</v>
      </c>
      <c r="F31" s="6">
        <v>3770031864106</v>
      </c>
      <c r="G31" s="18"/>
      <c r="H31" s="20">
        <f t="shared" si="0"/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5" customHeight="1" x14ac:dyDescent="0.3">
      <c r="A32" s="7" t="s">
        <v>23</v>
      </c>
      <c r="B32" s="7" t="str">
        <f>"Crackers Bio au Thym "&amp;C32&amp;" kg"</f>
        <v>Crackers Bio au Thym 1 kg</v>
      </c>
      <c r="C32" s="7">
        <v>1</v>
      </c>
      <c r="D32" s="8">
        <v>21.5</v>
      </c>
      <c r="E32" s="8">
        <v>32</v>
      </c>
      <c r="F32" s="6">
        <v>3770031864090</v>
      </c>
      <c r="G32" s="18"/>
      <c r="H32" s="20">
        <f t="shared" si="0"/>
        <v>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 x14ac:dyDescent="0.3">
      <c r="A33" s="7" t="s">
        <v>24</v>
      </c>
      <c r="B33" s="7" t="str">
        <f>"Crackers Bio Nature "&amp;C33&amp;" kg"</f>
        <v>Crackers Bio Nature 1 kg</v>
      </c>
      <c r="C33" s="7">
        <v>1</v>
      </c>
      <c r="D33" s="8">
        <v>21.5</v>
      </c>
      <c r="E33" s="8">
        <v>32</v>
      </c>
      <c r="F33" s="6">
        <v>3770031864083</v>
      </c>
      <c r="G33" s="18"/>
      <c r="H33" s="20">
        <f t="shared" si="0"/>
        <v>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 x14ac:dyDescent="0.3">
      <c r="A34" s="7" t="s">
        <v>25</v>
      </c>
      <c r="B34" s="7" t="str">
        <f>"Crackers Bio aux épices Marocaines "&amp;C34&amp;" kg"</f>
        <v>Crackers Bio aux épices Marocaines 1 kg</v>
      </c>
      <c r="C34" s="7">
        <v>1</v>
      </c>
      <c r="D34" s="8">
        <v>21.5</v>
      </c>
      <c r="E34" s="8">
        <v>32</v>
      </c>
      <c r="F34" s="6">
        <v>3770031864076</v>
      </c>
      <c r="G34" s="18"/>
      <c r="H34" s="20">
        <f t="shared" si="0"/>
        <v>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 x14ac:dyDescent="0.3">
      <c r="A35" s="7" t="s">
        <v>26</v>
      </c>
      <c r="B35" s="7" t="str">
        <f>"Crackers Bio au Piment d'Espelette "&amp;C35&amp;" kg"</f>
        <v>Crackers Bio au Piment d'Espelette 1 kg</v>
      </c>
      <c r="C35" s="7">
        <v>1</v>
      </c>
      <c r="D35" s="8">
        <v>21.5</v>
      </c>
      <c r="E35" s="8">
        <v>32</v>
      </c>
      <c r="F35" s="6">
        <v>3770031864069</v>
      </c>
      <c r="G35" s="18"/>
      <c r="H35" s="20">
        <f t="shared" si="0"/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 x14ac:dyDescent="0.3">
      <c r="A36" s="7" t="s">
        <v>27</v>
      </c>
      <c r="B36" s="7" t="s">
        <v>28</v>
      </c>
      <c r="C36" s="7">
        <v>1</v>
      </c>
      <c r="D36" s="8">
        <v>24</v>
      </c>
      <c r="E36" s="8">
        <v>36</v>
      </c>
      <c r="F36" s="6">
        <v>3770031864496</v>
      </c>
      <c r="G36" s="18"/>
      <c r="H36" s="20">
        <f t="shared" si="0"/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 x14ac:dyDescent="0.3">
      <c r="A37" s="7" t="s">
        <v>38</v>
      </c>
      <c r="B37" s="7" t="s">
        <v>39</v>
      </c>
      <c r="C37" s="7">
        <v>1</v>
      </c>
      <c r="D37" s="8">
        <v>21.5</v>
      </c>
      <c r="E37" s="8">
        <v>32</v>
      </c>
      <c r="F37" s="6">
        <v>3770031864717</v>
      </c>
      <c r="G37" s="18"/>
      <c r="H37" s="20">
        <f t="shared" si="0"/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 x14ac:dyDescent="0.3">
      <c r="A38" s="7" t="s">
        <v>40</v>
      </c>
      <c r="B38" s="7" t="s">
        <v>43</v>
      </c>
      <c r="C38" s="7">
        <v>1</v>
      </c>
      <c r="D38" s="8">
        <v>21.5</v>
      </c>
      <c r="E38" s="8">
        <v>32</v>
      </c>
      <c r="F38" s="6">
        <v>3770031864755</v>
      </c>
      <c r="G38" s="18"/>
      <c r="H38" s="20">
        <f t="shared" si="0"/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 x14ac:dyDescent="0.3">
      <c r="A39" s="7" t="s">
        <v>46</v>
      </c>
      <c r="B39" s="7" t="s">
        <v>47</v>
      </c>
      <c r="C39" s="7">
        <v>1</v>
      </c>
      <c r="D39" s="8">
        <v>24</v>
      </c>
      <c r="E39" s="8">
        <v>36</v>
      </c>
      <c r="F39" s="6">
        <v>3770031864748</v>
      </c>
      <c r="G39" s="18"/>
      <c r="H39" s="20">
        <f t="shared" si="0"/>
        <v>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 x14ac:dyDescent="0.3">
      <c r="A40" s="7" t="s">
        <v>66</v>
      </c>
      <c r="B40" s="7" t="s">
        <v>67</v>
      </c>
      <c r="C40" s="7">
        <v>1</v>
      </c>
      <c r="D40" s="8">
        <v>24</v>
      </c>
      <c r="E40" s="8">
        <v>36</v>
      </c>
      <c r="F40" s="6">
        <v>3770031864731</v>
      </c>
      <c r="G40" s="18"/>
      <c r="H40" s="20">
        <f t="shared" si="0"/>
        <v>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 x14ac:dyDescent="0.3">
      <c r="A41" s="4"/>
      <c r="B41" s="4"/>
      <c r="C41" s="4"/>
      <c r="D41" s="9"/>
      <c r="E41" s="9"/>
      <c r="F41" s="10"/>
      <c r="G41" s="2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s="28" customFormat="1" ht="13.5" customHeight="1" x14ac:dyDescent="0.3">
      <c r="A42" s="29" t="s">
        <v>33</v>
      </c>
      <c r="B42" s="24"/>
      <c r="C42" s="24"/>
      <c r="D42" s="24"/>
      <c r="E42" s="24"/>
      <c r="F42" s="26"/>
      <c r="G42" s="24"/>
      <c r="H42" s="2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3.5" customHeight="1" x14ac:dyDescent="0.3">
      <c r="A43" s="5" t="s">
        <v>20</v>
      </c>
      <c r="B43" s="5" t="s">
        <v>2</v>
      </c>
      <c r="C43" s="5" t="s">
        <v>21</v>
      </c>
      <c r="D43" s="5" t="s">
        <v>4</v>
      </c>
      <c r="E43" s="5" t="s">
        <v>5</v>
      </c>
      <c r="F43" s="6" t="s">
        <v>6</v>
      </c>
      <c r="G43" s="18" t="s">
        <v>55</v>
      </c>
      <c r="H43" s="20" t="s">
        <v>56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 x14ac:dyDescent="0.3">
      <c r="A44" s="7" t="s">
        <v>34</v>
      </c>
      <c r="B44" s="7" t="s">
        <v>35</v>
      </c>
      <c r="C44" s="7">
        <v>1</v>
      </c>
      <c r="D44" s="8">
        <v>23.5</v>
      </c>
      <c r="E44" s="8">
        <v>35</v>
      </c>
      <c r="F44" s="6">
        <v>3770031864342</v>
      </c>
      <c r="G44" s="18"/>
      <c r="H44" s="20">
        <f t="shared" si="0"/>
        <v>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 x14ac:dyDescent="0.3">
      <c r="A45" s="2"/>
      <c r="B45" s="2"/>
      <c r="C45" s="2"/>
      <c r="D45" s="2"/>
      <c r="E45" s="2"/>
      <c r="F45" s="3"/>
      <c r="G45" s="2"/>
      <c r="H45" s="2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s="28" customFormat="1" ht="13.5" customHeight="1" x14ac:dyDescent="0.3">
      <c r="A46" s="24" t="s">
        <v>54</v>
      </c>
      <c r="B46" s="24"/>
      <c r="C46" s="24"/>
      <c r="D46" s="24"/>
      <c r="E46" s="24"/>
      <c r="F46" s="24"/>
      <c r="G46" s="25"/>
      <c r="H46" s="31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13.5" customHeight="1" x14ac:dyDescent="0.3">
      <c r="A47" s="14" t="s">
        <v>1</v>
      </c>
      <c r="B47" s="14" t="s">
        <v>2</v>
      </c>
      <c r="C47" s="14" t="s">
        <v>3</v>
      </c>
      <c r="D47" s="14" t="s">
        <v>4</v>
      </c>
      <c r="E47" s="14" t="s">
        <v>5</v>
      </c>
      <c r="F47" s="15" t="s">
        <v>6</v>
      </c>
      <c r="G47" s="18" t="s">
        <v>55</v>
      </c>
      <c r="H47" s="20" t="s">
        <v>56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3.5" customHeight="1" x14ac:dyDescent="0.3">
      <c r="A48" s="16" t="s">
        <v>48</v>
      </c>
      <c r="B48" s="16" t="s">
        <v>49</v>
      </c>
      <c r="C48" s="16">
        <v>30</v>
      </c>
      <c r="D48" s="17">
        <v>1.25</v>
      </c>
      <c r="E48" s="17">
        <v>1.95</v>
      </c>
      <c r="F48" s="15">
        <v>3770031864670</v>
      </c>
      <c r="G48" s="18"/>
      <c r="H48" s="20">
        <f t="shared" si="0"/>
        <v>0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3.5" customHeight="1" x14ac:dyDescent="0.3">
      <c r="A49" s="16" t="s">
        <v>50</v>
      </c>
      <c r="B49" s="16" t="s">
        <v>51</v>
      </c>
      <c r="C49" s="16">
        <v>30</v>
      </c>
      <c r="D49" s="17">
        <v>1.25</v>
      </c>
      <c r="E49" s="17">
        <v>1.95</v>
      </c>
      <c r="F49" s="15">
        <v>3770031864663</v>
      </c>
      <c r="G49" s="18"/>
      <c r="H49" s="20">
        <f t="shared" si="0"/>
        <v>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3.5" customHeight="1" x14ac:dyDescent="0.3">
      <c r="A50" s="16" t="s">
        <v>52</v>
      </c>
      <c r="B50" s="16" t="s">
        <v>53</v>
      </c>
      <c r="C50" s="16">
        <v>25</v>
      </c>
      <c r="D50" s="17">
        <v>1.25</v>
      </c>
      <c r="E50" s="17">
        <v>1.95</v>
      </c>
      <c r="F50" s="15">
        <v>3770031864656</v>
      </c>
      <c r="G50" s="18"/>
      <c r="H50" s="20">
        <f t="shared" si="0"/>
        <v>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3.5" customHeight="1" x14ac:dyDescent="0.3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 x14ac:dyDescent="0.3">
      <c r="A52" s="2"/>
      <c r="B52" s="2"/>
      <c r="C52" s="2"/>
      <c r="D52" s="2"/>
      <c r="E52" s="2"/>
      <c r="F52" s="3"/>
      <c r="G52" s="2"/>
      <c r="H52" s="32">
        <f>SUM(H14:H51)</f>
        <v>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 x14ac:dyDescent="0.3">
      <c r="A53" s="24" t="s">
        <v>57</v>
      </c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 x14ac:dyDescent="0.3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 x14ac:dyDescent="0.3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 x14ac:dyDescent="0.3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 x14ac:dyDescent="0.3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 x14ac:dyDescent="0.3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 x14ac:dyDescent="0.3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 x14ac:dyDescent="0.3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 x14ac:dyDescent="0.3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 x14ac:dyDescent="0.3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 x14ac:dyDescent="0.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 x14ac:dyDescent="0.3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 x14ac:dyDescent="0.3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 x14ac:dyDescent="0.3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 x14ac:dyDescent="0.3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 x14ac:dyDescent="0.3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 x14ac:dyDescent="0.3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 x14ac:dyDescent="0.3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 x14ac:dyDescent="0.3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 x14ac:dyDescent="0.3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 x14ac:dyDescent="0.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 x14ac:dyDescent="0.3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 x14ac:dyDescent="0.3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 x14ac:dyDescent="0.3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 x14ac:dyDescent="0.3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 x14ac:dyDescent="0.3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 x14ac:dyDescent="0.3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 x14ac:dyDescent="0.3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 x14ac:dyDescent="0.3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 x14ac:dyDescent="0.3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 x14ac:dyDescent="0.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 x14ac:dyDescent="0.3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 x14ac:dyDescent="0.3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 x14ac:dyDescent="0.3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 x14ac:dyDescent="0.3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 x14ac:dyDescent="0.3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 x14ac:dyDescent="0.3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 x14ac:dyDescent="0.3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 x14ac:dyDescent="0.3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 x14ac:dyDescent="0.3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 x14ac:dyDescent="0.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 x14ac:dyDescent="0.3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 x14ac:dyDescent="0.3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 x14ac:dyDescent="0.3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 x14ac:dyDescent="0.3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 x14ac:dyDescent="0.3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 x14ac:dyDescent="0.3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 x14ac:dyDescent="0.3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 x14ac:dyDescent="0.3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 x14ac:dyDescent="0.3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 x14ac:dyDescent="0.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 x14ac:dyDescent="0.3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 x14ac:dyDescent="0.3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 x14ac:dyDescent="0.3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 x14ac:dyDescent="0.3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 x14ac:dyDescent="0.3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 x14ac:dyDescent="0.3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 x14ac:dyDescent="0.3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 x14ac:dyDescent="0.3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 x14ac:dyDescent="0.3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 x14ac:dyDescent="0.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 x14ac:dyDescent="0.3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 x14ac:dyDescent="0.3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 x14ac:dyDescent="0.3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 x14ac:dyDescent="0.3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 x14ac:dyDescent="0.3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 x14ac:dyDescent="0.3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 x14ac:dyDescent="0.3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 x14ac:dyDescent="0.3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 x14ac:dyDescent="0.3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 x14ac:dyDescent="0.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 x14ac:dyDescent="0.3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 x14ac:dyDescent="0.3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 x14ac:dyDescent="0.3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 x14ac:dyDescent="0.3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 x14ac:dyDescent="0.3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 x14ac:dyDescent="0.3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 x14ac:dyDescent="0.3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 x14ac:dyDescent="0.3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 x14ac:dyDescent="0.3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 x14ac:dyDescent="0.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 x14ac:dyDescent="0.3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 x14ac:dyDescent="0.3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 x14ac:dyDescent="0.3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 x14ac:dyDescent="0.3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 x14ac:dyDescent="0.3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 x14ac:dyDescent="0.3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 x14ac:dyDescent="0.3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 x14ac:dyDescent="0.3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 x14ac:dyDescent="0.3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 x14ac:dyDescent="0.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 x14ac:dyDescent="0.3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 x14ac:dyDescent="0.3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 x14ac:dyDescent="0.3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 x14ac:dyDescent="0.3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 x14ac:dyDescent="0.3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 x14ac:dyDescent="0.3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 x14ac:dyDescent="0.3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 x14ac:dyDescent="0.3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 x14ac:dyDescent="0.3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 x14ac:dyDescent="0.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 x14ac:dyDescent="0.3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 x14ac:dyDescent="0.3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 x14ac:dyDescent="0.3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 x14ac:dyDescent="0.3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 x14ac:dyDescent="0.3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 x14ac:dyDescent="0.3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 x14ac:dyDescent="0.3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 x14ac:dyDescent="0.3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 x14ac:dyDescent="0.3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 x14ac:dyDescent="0.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 x14ac:dyDescent="0.3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 x14ac:dyDescent="0.3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 x14ac:dyDescent="0.3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 x14ac:dyDescent="0.3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 x14ac:dyDescent="0.3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 x14ac:dyDescent="0.3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 x14ac:dyDescent="0.3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 x14ac:dyDescent="0.3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 x14ac:dyDescent="0.3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 x14ac:dyDescent="0.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 x14ac:dyDescent="0.3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 x14ac:dyDescent="0.3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 x14ac:dyDescent="0.3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 x14ac:dyDescent="0.3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 x14ac:dyDescent="0.3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 x14ac:dyDescent="0.3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 x14ac:dyDescent="0.3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 x14ac:dyDescent="0.3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 x14ac:dyDescent="0.3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 x14ac:dyDescent="0.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 x14ac:dyDescent="0.3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 x14ac:dyDescent="0.3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 x14ac:dyDescent="0.3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 x14ac:dyDescent="0.3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 x14ac:dyDescent="0.3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 x14ac:dyDescent="0.3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 x14ac:dyDescent="0.3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 x14ac:dyDescent="0.3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 x14ac:dyDescent="0.3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 x14ac:dyDescent="0.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 x14ac:dyDescent="0.3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 x14ac:dyDescent="0.3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 x14ac:dyDescent="0.3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 x14ac:dyDescent="0.3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 x14ac:dyDescent="0.3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 x14ac:dyDescent="0.3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 x14ac:dyDescent="0.3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 x14ac:dyDescent="0.3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 x14ac:dyDescent="0.3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 x14ac:dyDescent="0.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 x14ac:dyDescent="0.3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 x14ac:dyDescent="0.3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 x14ac:dyDescent="0.3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 x14ac:dyDescent="0.3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 x14ac:dyDescent="0.3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 x14ac:dyDescent="0.3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 x14ac:dyDescent="0.3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 x14ac:dyDescent="0.3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 x14ac:dyDescent="0.3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 x14ac:dyDescent="0.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 x14ac:dyDescent="0.3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 x14ac:dyDescent="0.3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 x14ac:dyDescent="0.3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 x14ac:dyDescent="0.3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 x14ac:dyDescent="0.3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 x14ac:dyDescent="0.3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 x14ac:dyDescent="0.3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 x14ac:dyDescent="0.3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 x14ac:dyDescent="0.3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 x14ac:dyDescent="0.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 x14ac:dyDescent="0.3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 x14ac:dyDescent="0.3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 x14ac:dyDescent="0.3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 x14ac:dyDescent="0.3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 x14ac:dyDescent="0.3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 x14ac:dyDescent="0.3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 x14ac:dyDescent="0.3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 x14ac:dyDescent="0.3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 x14ac:dyDescent="0.3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 x14ac:dyDescent="0.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 x14ac:dyDescent="0.3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 x14ac:dyDescent="0.3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 x14ac:dyDescent="0.3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 x14ac:dyDescent="0.3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 x14ac:dyDescent="0.3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 x14ac:dyDescent="0.3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 x14ac:dyDescent="0.3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 x14ac:dyDescent="0.3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 x14ac:dyDescent="0.3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 x14ac:dyDescent="0.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 x14ac:dyDescent="0.3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 x14ac:dyDescent="0.3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 x14ac:dyDescent="0.3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 x14ac:dyDescent="0.3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 x14ac:dyDescent="0.3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 x14ac:dyDescent="0.3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 x14ac:dyDescent="0.3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 x14ac:dyDescent="0.3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 x14ac:dyDescent="0.3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 x14ac:dyDescent="0.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 x14ac:dyDescent="0.3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 x14ac:dyDescent="0.3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 x14ac:dyDescent="0.3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 x14ac:dyDescent="0.3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 x14ac:dyDescent="0.3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 x14ac:dyDescent="0.3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 x14ac:dyDescent="0.3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 x14ac:dyDescent="0.3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 x14ac:dyDescent="0.3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 x14ac:dyDescent="0.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 x14ac:dyDescent="0.3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 x14ac:dyDescent="0.3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 x14ac:dyDescent="0.3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 x14ac:dyDescent="0.3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 x14ac:dyDescent="0.3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 x14ac:dyDescent="0.3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 x14ac:dyDescent="0.3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 x14ac:dyDescent="0.3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 x14ac:dyDescent="0.3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 x14ac:dyDescent="0.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 x14ac:dyDescent="0.3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 x14ac:dyDescent="0.3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 x14ac:dyDescent="0.3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 x14ac:dyDescent="0.3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 x14ac:dyDescent="0.3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 x14ac:dyDescent="0.3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 x14ac:dyDescent="0.3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 x14ac:dyDescent="0.3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 x14ac:dyDescent="0.3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 x14ac:dyDescent="0.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 x14ac:dyDescent="0.3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 x14ac:dyDescent="0.3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 x14ac:dyDescent="0.3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 x14ac:dyDescent="0.3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 x14ac:dyDescent="0.3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 x14ac:dyDescent="0.3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 x14ac:dyDescent="0.3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 x14ac:dyDescent="0.3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 x14ac:dyDescent="0.3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 x14ac:dyDescent="0.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 x14ac:dyDescent="0.3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 x14ac:dyDescent="0.3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 x14ac:dyDescent="0.3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 x14ac:dyDescent="0.3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 x14ac:dyDescent="0.3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 x14ac:dyDescent="0.3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 x14ac:dyDescent="0.3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 x14ac:dyDescent="0.3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 x14ac:dyDescent="0.3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 x14ac:dyDescent="0.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 x14ac:dyDescent="0.3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 x14ac:dyDescent="0.3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 x14ac:dyDescent="0.3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 x14ac:dyDescent="0.3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 x14ac:dyDescent="0.3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 x14ac:dyDescent="0.3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 x14ac:dyDescent="0.3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 x14ac:dyDescent="0.3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 x14ac:dyDescent="0.3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 x14ac:dyDescent="0.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 x14ac:dyDescent="0.3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 x14ac:dyDescent="0.3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 x14ac:dyDescent="0.3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 x14ac:dyDescent="0.3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 x14ac:dyDescent="0.3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 x14ac:dyDescent="0.3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 x14ac:dyDescent="0.3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 x14ac:dyDescent="0.3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 x14ac:dyDescent="0.3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 x14ac:dyDescent="0.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 x14ac:dyDescent="0.3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 x14ac:dyDescent="0.3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 x14ac:dyDescent="0.3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 x14ac:dyDescent="0.3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 x14ac:dyDescent="0.3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 x14ac:dyDescent="0.3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 x14ac:dyDescent="0.3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 x14ac:dyDescent="0.3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 x14ac:dyDescent="0.3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 x14ac:dyDescent="0.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 x14ac:dyDescent="0.3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 x14ac:dyDescent="0.3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 x14ac:dyDescent="0.3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 x14ac:dyDescent="0.3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 x14ac:dyDescent="0.3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 x14ac:dyDescent="0.3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 x14ac:dyDescent="0.3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 x14ac:dyDescent="0.3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 x14ac:dyDescent="0.3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 x14ac:dyDescent="0.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 x14ac:dyDescent="0.3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 x14ac:dyDescent="0.3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 x14ac:dyDescent="0.3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 x14ac:dyDescent="0.3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 x14ac:dyDescent="0.3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 x14ac:dyDescent="0.3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 x14ac:dyDescent="0.3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 x14ac:dyDescent="0.3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 x14ac:dyDescent="0.3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 x14ac:dyDescent="0.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 x14ac:dyDescent="0.3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 x14ac:dyDescent="0.3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 x14ac:dyDescent="0.3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 x14ac:dyDescent="0.3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 x14ac:dyDescent="0.3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 x14ac:dyDescent="0.3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 x14ac:dyDescent="0.3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 x14ac:dyDescent="0.3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 x14ac:dyDescent="0.3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 x14ac:dyDescent="0.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 x14ac:dyDescent="0.3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 x14ac:dyDescent="0.3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 x14ac:dyDescent="0.3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 x14ac:dyDescent="0.3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 x14ac:dyDescent="0.3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 x14ac:dyDescent="0.3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 x14ac:dyDescent="0.3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 x14ac:dyDescent="0.3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 x14ac:dyDescent="0.3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 x14ac:dyDescent="0.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 x14ac:dyDescent="0.3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 x14ac:dyDescent="0.3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 x14ac:dyDescent="0.3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 x14ac:dyDescent="0.3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 x14ac:dyDescent="0.3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 x14ac:dyDescent="0.3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 x14ac:dyDescent="0.3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 x14ac:dyDescent="0.3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 x14ac:dyDescent="0.3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 x14ac:dyDescent="0.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 x14ac:dyDescent="0.3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 x14ac:dyDescent="0.3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 x14ac:dyDescent="0.3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 x14ac:dyDescent="0.3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 x14ac:dyDescent="0.3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 x14ac:dyDescent="0.3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 x14ac:dyDescent="0.3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 x14ac:dyDescent="0.3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 x14ac:dyDescent="0.3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 x14ac:dyDescent="0.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 x14ac:dyDescent="0.3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 x14ac:dyDescent="0.3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 x14ac:dyDescent="0.3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 x14ac:dyDescent="0.3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 x14ac:dyDescent="0.3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 x14ac:dyDescent="0.3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 x14ac:dyDescent="0.3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 x14ac:dyDescent="0.3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 x14ac:dyDescent="0.3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 x14ac:dyDescent="0.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 x14ac:dyDescent="0.3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 x14ac:dyDescent="0.3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 x14ac:dyDescent="0.3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 x14ac:dyDescent="0.3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 x14ac:dyDescent="0.3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 x14ac:dyDescent="0.3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 x14ac:dyDescent="0.3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 x14ac:dyDescent="0.3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 x14ac:dyDescent="0.3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 x14ac:dyDescent="0.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 x14ac:dyDescent="0.3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 x14ac:dyDescent="0.3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 x14ac:dyDescent="0.3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 x14ac:dyDescent="0.3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 x14ac:dyDescent="0.3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 x14ac:dyDescent="0.3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 x14ac:dyDescent="0.3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 x14ac:dyDescent="0.3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 x14ac:dyDescent="0.3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 x14ac:dyDescent="0.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 x14ac:dyDescent="0.3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 x14ac:dyDescent="0.3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 x14ac:dyDescent="0.3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 x14ac:dyDescent="0.3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 x14ac:dyDescent="0.3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 x14ac:dyDescent="0.3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 x14ac:dyDescent="0.3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 x14ac:dyDescent="0.3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 x14ac:dyDescent="0.3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 x14ac:dyDescent="0.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 x14ac:dyDescent="0.3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 x14ac:dyDescent="0.3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 x14ac:dyDescent="0.3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 x14ac:dyDescent="0.3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 x14ac:dyDescent="0.3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 x14ac:dyDescent="0.3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 x14ac:dyDescent="0.3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 x14ac:dyDescent="0.3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 x14ac:dyDescent="0.3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 x14ac:dyDescent="0.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 x14ac:dyDescent="0.3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 x14ac:dyDescent="0.3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 x14ac:dyDescent="0.3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 x14ac:dyDescent="0.3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 x14ac:dyDescent="0.3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 x14ac:dyDescent="0.3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 x14ac:dyDescent="0.3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 x14ac:dyDescent="0.3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 x14ac:dyDescent="0.3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 x14ac:dyDescent="0.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 x14ac:dyDescent="0.3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 x14ac:dyDescent="0.3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 x14ac:dyDescent="0.3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 x14ac:dyDescent="0.3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 x14ac:dyDescent="0.3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 x14ac:dyDescent="0.3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 x14ac:dyDescent="0.3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 x14ac:dyDescent="0.3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 x14ac:dyDescent="0.3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 x14ac:dyDescent="0.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 x14ac:dyDescent="0.3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 x14ac:dyDescent="0.3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 x14ac:dyDescent="0.3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 x14ac:dyDescent="0.3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 x14ac:dyDescent="0.3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 x14ac:dyDescent="0.3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 x14ac:dyDescent="0.3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 x14ac:dyDescent="0.3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 x14ac:dyDescent="0.3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 x14ac:dyDescent="0.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 x14ac:dyDescent="0.3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 x14ac:dyDescent="0.3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 x14ac:dyDescent="0.3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 x14ac:dyDescent="0.3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 x14ac:dyDescent="0.3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 x14ac:dyDescent="0.3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 x14ac:dyDescent="0.3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 x14ac:dyDescent="0.3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 x14ac:dyDescent="0.3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 x14ac:dyDescent="0.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 x14ac:dyDescent="0.3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 x14ac:dyDescent="0.3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 x14ac:dyDescent="0.3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 x14ac:dyDescent="0.3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 x14ac:dyDescent="0.3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 x14ac:dyDescent="0.3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 x14ac:dyDescent="0.3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 x14ac:dyDescent="0.3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 x14ac:dyDescent="0.3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 x14ac:dyDescent="0.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 x14ac:dyDescent="0.3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 x14ac:dyDescent="0.3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 x14ac:dyDescent="0.3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 x14ac:dyDescent="0.3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 x14ac:dyDescent="0.3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 x14ac:dyDescent="0.3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 x14ac:dyDescent="0.3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 x14ac:dyDescent="0.3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 x14ac:dyDescent="0.3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 x14ac:dyDescent="0.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 x14ac:dyDescent="0.3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 x14ac:dyDescent="0.3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 x14ac:dyDescent="0.3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 x14ac:dyDescent="0.3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 x14ac:dyDescent="0.3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 x14ac:dyDescent="0.3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 x14ac:dyDescent="0.3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 x14ac:dyDescent="0.3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 x14ac:dyDescent="0.3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 x14ac:dyDescent="0.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 x14ac:dyDescent="0.3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 x14ac:dyDescent="0.3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 x14ac:dyDescent="0.3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 x14ac:dyDescent="0.3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 x14ac:dyDescent="0.3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 x14ac:dyDescent="0.3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 x14ac:dyDescent="0.3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 x14ac:dyDescent="0.3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 x14ac:dyDescent="0.3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 x14ac:dyDescent="0.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 x14ac:dyDescent="0.3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 x14ac:dyDescent="0.3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 x14ac:dyDescent="0.3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 x14ac:dyDescent="0.3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 x14ac:dyDescent="0.3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 x14ac:dyDescent="0.3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 x14ac:dyDescent="0.3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 x14ac:dyDescent="0.3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 x14ac:dyDescent="0.3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 x14ac:dyDescent="0.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 x14ac:dyDescent="0.3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 x14ac:dyDescent="0.3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 x14ac:dyDescent="0.3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 x14ac:dyDescent="0.3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 x14ac:dyDescent="0.3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 x14ac:dyDescent="0.3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 x14ac:dyDescent="0.3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 x14ac:dyDescent="0.3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 x14ac:dyDescent="0.3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 x14ac:dyDescent="0.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 x14ac:dyDescent="0.3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 x14ac:dyDescent="0.3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 x14ac:dyDescent="0.3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 x14ac:dyDescent="0.3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 x14ac:dyDescent="0.3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 x14ac:dyDescent="0.3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 x14ac:dyDescent="0.3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 x14ac:dyDescent="0.3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 x14ac:dyDescent="0.3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 x14ac:dyDescent="0.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 x14ac:dyDescent="0.3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 x14ac:dyDescent="0.3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 x14ac:dyDescent="0.3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 x14ac:dyDescent="0.3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 x14ac:dyDescent="0.3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 x14ac:dyDescent="0.3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 x14ac:dyDescent="0.3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 x14ac:dyDescent="0.3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 x14ac:dyDescent="0.3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 x14ac:dyDescent="0.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 x14ac:dyDescent="0.3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 x14ac:dyDescent="0.3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 x14ac:dyDescent="0.3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 x14ac:dyDescent="0.3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 x14ac:dyDescent="0.3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 x14ac:dyDescent="0.3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 x14ac:dyDescent="0.3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 x14ac:dyDescent="0.3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 x14ac:dyDescent="0.3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 x14ac:dyDescent="0.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 x14ac:dyDescent="0.3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 x14ac:dyDescent="0.3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 x14ac:dyDescent="0.3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 x14ac:dyDescent="0.3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 x14ac:dyDescent="0.3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 x14ac:dyDescent="0.3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 x14ac:dyDescent="0.3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 x14ac:dyDescent="0.3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 x14ac:dyDescent="0.3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 x14ac:dyDescent="0.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 x14ac:dyDescent="0.3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 x14ac:dyDescent="0.3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 x14ac:dyDescent="0.3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 x14ac:dyDescent="0.3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 x14ac:dyDescent="0.3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 x14ac:dyDescent="0.3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 x14ac:dyDescent="0.3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 x14ac:dyDescent="0.3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 x14ac:dyDescent="0.3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 x14ac:dyDescent="0.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 x14ac:dyDescent="0.3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 x14ac:dyDescent="0.3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 x14ac:dyDescent="0.3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 x14ac:dyDescent="0.3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 x14ac:dyDescent="0.3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 x14ac:dyDescent="0.3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 x14ac:dyDescent="0.3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 x14ac:dyDescent="0.3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 x14ac:dyDescent="0.3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 x14ac:dyDescent="0.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 x14ac:dyDescent="0.3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 x14ac:dyDescent="0.3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 x14ac:dyDescent="0.3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 x14ac:dyDescent="0.3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 x14ac:dyDescent="0.3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 x14ac:dyDescent="0.3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 x14ac:dyDescent="0.3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 x14ac:dyDescent="0.3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 x14ac:dyDescent="0.3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 x14ac:dyDescent="0.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 x14ac:dyDescent="0.3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 x14ac:dyDescent="0.3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 x14ac:dyDescent="0.3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 x14ac:dyDescent="0.3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 x14ac:dyDescent="0.3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 x14ac:dyDescent="0.3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 x14ac:dyDescent="0.3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 x14ac:dyDescent="0.3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 x14ac:dyDescent="0.3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 x14ac:dyDescent="0.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 x14ac:dyDescent="0.3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 x14ac:dyDescent="0.3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 x14ac:dyDescent="0.3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 x14ac:dyDescent="0.3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 x14ac:dyDescent="0.3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 x14ac:dyDescent="0.3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 x14ac:dyDescent="0.3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 x14ac:dyDescent="0.3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 x14ac:dyDescent="0.3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 x14ac:dyDescent="0.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 x14ac:dyDescent="0.3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 x14ac:dyDescent="0.3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 x14ac:dyDescent="0.3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 x14ac:dyDescent="0.3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 x14ac:dyDescent="0.3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 x14ac:dyDescent="0.3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 x14ac:dyDescent="0.3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 x14ac:dyDescent="0.3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 x14ac:dyDescent="0.3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 x14ac:dyDescent="0.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 x14ac:dyDescent="0.3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 x14ac:dyDescent="0.3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 x14ac:dyDescent="0.3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 x14ac:dyDescent="0.3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 x14ac:dyDescent="0.3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 x14ac:dyDescent="0.3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 x14ac:dyDescent="0.3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 x14ac:dyDescent="0.3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 x14ac:dyDescent="0.3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 x14ac:dyDescent="0.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 x14ac:dyDescent="0.3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 x14ac:dyDescent="0.3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 x14ac:dyDescent="0.3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 x14ac:dyDescent="0.3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 x14ac:dyDescent="0.3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 x14ac:dyDescent="0.3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 x14ac:dyDescent="0.3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 x14ac:dyDescent="0.3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 x14ac:dyDescent="0.3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 x14ac:dyDescent="0.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 x14ac:dyDescent="0.3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 x14ac:dyDescent="0.3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 x14ac:dyDescent="0.3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 x14ac:dyDescent="0.3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 x14ac:dyDescent="0.3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 x14ac:dyDescent="0.3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 x14ac:dyDescent="0.3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 x14ac:dyDescent="0.3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 x14ac:dyDescent="0.3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 x14ac:dyDescent="0.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 x14ac:dyDescent="0.3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 x14ac:dyDescent="0.3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 x14ac:dyDescent="0.3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 x14ac:dyDescent="0.3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 x14ac:dyDescent="0.3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 x14ac:dyDescent="0.3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 x14ac:dyDescent="0.3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 x14ac:dyDescent="0.3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 x14ac:dyDescent="0.3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 x14ac:dyDescent="0.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 x14ac:dyDescent="0.3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 x14ac:dyDescent="0.3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 x14ac:dyDescent="0.3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 x14ac:dyDescent="0.3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 x14ac:dyDescent="0.3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 x14ac:dyDescent="0.3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 x14ac:dyDescent="0.3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 x14ac:dyDescent="0.3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 x14ac:dyDescent="0.3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 x14ac:dyDescent="0.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 x14ac:dyDescent="0.3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 x14ac:dyDescent="0.3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 x14ac:dyDescent="0.3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 x14ac:dyDescent="0.3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 x14ac:dyDescent="0.3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 x14ac:dyDescent="0.3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 x14ac:dyDescent="0.3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 x14ac:dyDescent="0.3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 x14ac:dyDescent="0.3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 x14ac:dyDescent="0.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 x14ac:dyDescent="0.3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 x14ac:dyDescent="0.3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 x14ac:dyDescent="0.3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 x14ac:dyDescent="0.3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 x14ac:dyDescent="0.3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 x14ac:dyDescent="0.3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 x14ac:dyDescent="0.3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 x14ac:dyDescent="0.3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 x14ac:dyDescent="0.3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 x14ac:dyDescent="0.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 x14ac:dyDescent="0.3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 x14ac:dyDescent="0.3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 x14ac:dyDescent="0.3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 x14ac:dyDescent="0.3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 x14ac:dyDescent="0.3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 x14ac:dyDescent="0.3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 x14ac:dyDescent="0.3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 x14ac:dyDescent="0.3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 x14ac:dyDescent="0.3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 x14ac:dyDescent="0.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 x14ac:dyDescent="0.3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 x14ac:dyDescent="0.3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 x14ac:dyDescent="0.3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 x14ac:dyDescent="0.3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 x14ac:dyDescent="0.3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 x14ac:dyDescent="0.3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 x14ac:dyDescent="0.3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 x14ac:dyDescent="0.3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 x14ac:dyDescent="0.3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 x14ac:dyDescent="0.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 x14ac:dyDescent="0.3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 x14ac:dyDescent="0.3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 x14ac:dyDescent="0.3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 x14ac:dyDescent="0.3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 x14ac:dyDescent="0.3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 x14ac:dyDescent="0.3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 x14ac:dyDescent="0.3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 x14ac:dyDescent="0.3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 x14ac:dyDescent="0.3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 x14ac:dyDescent="0.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 x14ac:dyDescent="0.3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 x14ac:dyDescent="0.3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 x14ac:dyDescent="0.3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 x14ac:dyDescent="0.3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 x14ac:dyDescent="0.3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 x14ac:dyDescent="0.3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 x14ac:dyDescent="0.3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 x14ac:dyDescent="0.3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 x14ac:dyDescent="0.3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 x14ac:dyDescent="0.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 x14ac:dyDescent="0.3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 x14ac:dyDescent="0.3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 x14ac:dyDescent="0.3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 x14ac:dyDescent="0.3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 x14ac:dyDescent="0.3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 x14ac:dyDescent="0.3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 x14ac:dyDescent="0.3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 x14ac:dyDescent="0.3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 x14ac:dyDescent="0.3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 x14ac:dyDescent="0.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 x14ac:dyDescent="0.3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 x14ac:dyDescent="0.3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 x14ac:dyDescent="0.3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 x14ac:dyDescent="0.3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 x14ac:dyDescent="0.3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 x14ac:dyDescent="0.3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 x14ac:dyDescent="0.3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 x14ac:dyDescent="0.3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 x14ac:dyDescent="0.3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 x14ac:dyDescent="0.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 x14ac:dyDescent="0.3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 x14ac:dyDescent="0.3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 x14ac:dyDescent="0.3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 x14ac:dyDescent="0.3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 x14ac:dyDescent="0.3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 x14ac:dyDescent="0.3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 x14ac:dyDescent="0.3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 x14ac:dyDescent="0.3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 x14ac:dyDescent="0.3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 x14ac:dyDescent="0.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 x14ac:dyDescent="0.3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 x14ac:dyDescent="0.3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 x14ac:dyDescent="0.3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 x14ac:dyDescent="0.3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 x14ac:dyDescent="0.3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 x14ac:dyDescent="0.3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 x14ac:dyDescent="0.3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 x14ac:dyDescent="0.3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 x14ac:dyDescent="0.3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 x14ac:dyDescent="0.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 x14ac:dyDescent="0.3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 x14ac:dyDescent="0.3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 x14ac:dyDescent="0.3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 x14ac:dyDescent="0.3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 x14ac:dyDescent="0.3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 x14ac:dyDescent="0.3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 x14ac:dyDescent="0.3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 x14ac:dyDescent="0.3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 x14ac:dyDescent="0.3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 x14ac:dyDescent="0.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 x14ac:dyDescent="0.3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 x14ac:dyDescent="0.3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 x14ac:dyDescent="0.3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 x14ac:dyDescent="0.3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 x14ac:dyDescent="0.3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 x14ac:dyDescent="0.3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 x14ac:dyDescent="0.3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 x14ac:dyDescent="0.3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 x14ac:dyDescent="0.3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 x14ac:dyDescent="0.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 x14ac:dyDescent="0.3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 x14ac:dyDescent="0.3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 x14ac:dyDescent="0.3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 x14ac:dyDescent="0.3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 x14ac:dyDescent="0.3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 x14ac:dyDescent="0.3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 x14ac:dyDescent="0.3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 x14ac:dyDescent="0.3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 x14ac:dyDescent="0.3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 x14ac:dyDescent="0.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 x14ac:dyDescent="0.3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 x14ac:dyDescent="0.3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 x14ac:dyDescent="0.3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 x14ac:dyDescent="0.3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 x14ac:dyDescent="0.3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 x14ac:dyDescent="0.3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 x14ac:dyDescent="0.3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 x14ac:dyDescent="0.3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 x14ac:dyDescent="0.3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 x14ac:dyDescent="0.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 x14ac:dyDescent="0.3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 x14ac:dyDescent="0.3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 x14ac:dyDescent="0.3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 x14ac:dyDescent="0.3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 x14ac:dyDescent="0.3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 x14ac:dyDescent="0.3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 x14ac:dyDescent="0.3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 x14ac:dyDescent="0.3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 x14ac:dyDescent="0.3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 x14ac:dyDescent="0.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 x14ac:dyDescent="0.3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 x14ac:dyDescent="0.3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 x14ac:dyDescent="0.3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 x14ac:dyDescent="0.3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 x14ac:dyDescent="0.3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 x14ac:dyDescent="0.3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 x14ac:dyDescent="0.3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 x14ac:dyDescent="0.3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 x14ac:dyDescent="0.3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 x14ac:dyDescent="0.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 x14ac:dyDescent="0.3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 x14ac:dyDescent="0.3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 x14ac:dyDescent="0.3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 x14ac:dyDescent="0.3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 x14ac:dyDescent="0.3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 x14ac:dyDescent="0.3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 x14ac:dyDescent="0.3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 x14ac:dyDescent="0.3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 x14ac:dyDescent="0.3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 x14ac:dyDescent="0.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 x14ac:dyDescent="0.3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 x14ac:dyDescent="0.3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 x14ac:dyDescent="0.3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 x14ac:dyDescent="0.3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 x14ac:dyDescent="0.3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 x14ac:dyDescent="0.3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 x14ac:dyDescent="0.3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 x14ac:dyDescent="0.3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 x14ac:dyDescent="0.3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 x14ac:dyDescent="0.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 x14ac:dyDescent="0.3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 x14ac:dyDescent="0.3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 x14ac:dyDescent="0.3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 x14ac:dyDescent="0.3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 x14ac:dyDescent="0.3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 x14ac:dyDescent="0.3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 x14ac:dyDescent="0.3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 x14ac:dyDescent="0.3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 x14ac:dyDescent="0.3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 x14ac:dyDescent="0.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 x14ac:dyDescent="0.3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 x14ac:dyDescent="0.3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 x14ac:dyDescent="0.3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 x14ac:dyDescent="0.3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 x14ac:dyDescent="0.3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 x14ac:dyDescent="0.3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 x14ac:dyDescent="0.3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 x14ac:dyDescent="0.3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 x14ac:dyDescent="0.3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 x14ac:dyDescent="0.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 x14ac:dyDescent="0.3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 x14ac:dyDescent="0.3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 x14ac:dyDescent="0.3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 x14ac:dyDescent="0.3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 x14ac:dyDescent="0.3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 x14ac:dyDescent="0.3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 x14ac:dyDescent="0.3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 x14ac:dyDescent="0.3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 x14ac:dyDescent="0.3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 x14ac:dyDescent="0.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 x14ac:dyDescent="0.3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 x14ac:dyDescent="0.3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 x14ac:dyDescent="0.3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 x14ac:dyDescent="0.3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 x14ac:dyDescent="0.3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 x14ac:dyDescent="0.3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 x14ac:dyDescent="0.3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 x14ac:dyDescent="0.3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 x14ac:dyDescent="0.3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 x14ac:dyDescent="0.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 x14ac:dyDescent="0.3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 x14ac:dyDescent="0.3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 x14ac:dyDescent="0.3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 x14ac:dyDescent="0.3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 x14ac:dyDescent="0.3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 x14ac:dyDescent="0.3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 x14ac:dyDescent="0.3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 x14ac:dyDescent="0.3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 x14ac:dyDescent="0.3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 x14ac:dyDescent="0.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 x14ac:dyDescent="0.3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 x14ac:dyDescent="0.3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 x14ac:dyDescent="0.3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 x14ac:dyDescent="0.3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 x14ac:dyDescent="0.3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 x14ac:dyDescent="0.3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 x14ac:dyDescent="0.3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 x14ac:dyDescent="0.3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 x14ac:dyDescent="0.3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 x14ac:dyDescent="0.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 x14ac:dyDescent="0.3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 x14ac:dyDescent="0.3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 x14ac:dyDescent="0.3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 x14ac:dyDescent="0.3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 x14ac:dyDescent="0.3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 x14ac:dyDescent="0.3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 x14ac:dyDescent="0.3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 x14ac:dyDescent="0.3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 x14ac:dyDescent="0.3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 x14ac:dyDescent="0.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 x14ac:dyDescent="0.3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 x14ac:dyDescent="0.3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 x14ac:dyDescent="0.3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 x14ac:dyDescent="0.3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 x14ac:dyDescent="0.3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 x14ac:dyDescent="0.3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 x14ac:dyDescent="0.3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 x14ac:dyDescent="0.3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 x14ac:dyDescent="0.3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 x14ac:dyDescent="0.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 x14ac:dyDescent="0.3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 x14ac:dyDescent="0.3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 x14ac:dyDescent="0.3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 x14ac:dyDescent="0.3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 x14ac:dyDescent="0.3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 x14ac:dyDescent="0.3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 x14ac:dyDescent="0.3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 x14ac:dyDescent="0.3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 x14ac:dyDescent="0.3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 x14ac:dyDescent="0.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 x14ac:dyDescent="0.3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 x14ac:dyDescent="0.3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 x14ac:dyDescent="0.3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 x14ac:dyDescent="0.3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 x14ac:dyDescent="0.3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5" customHeight="1" x14ac:dyDescent="0.3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5" customHeight="1" x14ac:dyDescent="0.3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5" customHeight="1" x14ac:dyDescent="0.3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5" customHeight="1" x14ac:dyDescent="0.3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5" customHeight="1" x14ac:dyDescent="0.3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5" customHeight="1" x14ac:dyDescent="0.3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5" customHeight="1" x14ac:dyDescent="0.3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5" customHeight="1" x14ac:dyDescent="0.3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5" customHeight="1" x14ac:dyDescent="0.3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5" customHeight="1" x14ac:dyDescent="0.3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5" customHeight="1" x14ac:dyDescent="0.3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5" customHeight="1" x14ac:dyDescent="0.3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5" customHeight="1" x14ac:dyDescent="0.3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5" customHeight="1" x14ac:dyDescent="0.3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5" customHeight="1" x14ac:dyDescent="0.3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5" customHeight="1" x14ac:dyDescent="0.3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5" customHeight="1" x14ac:dyDescent="0.3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5" customHeight="1" x14ac:dyDescent="0.3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5" customHeight="1" x14ac:dyDescent="0.3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5" customHeight="1" x14ac:dyDescent="0.3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5" customHeight="1" x14ac:dyDescent="0.3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5" customHeight="1" x14ac:dyDescent="0.3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5" customHeight="1" x14ac:dyDescent="0.3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5" customHeight="1" x14ac:dyDescent="0.3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5" customHeight="1" x14ac:dyDescent="0.3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5" customHeight="1" x14ac:dyDescent="0.3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5" customHeight="1" x14ac:dyDescent="0.3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5" customHeight="1" x14ac:dyDescent="0.3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5" customHeight="1" x14ac:dyDescent="0.3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5" customHeight="1" x14ac:dyDescent="0.3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5" customHeight="1" x14ac:dyDescent="0.3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2">
    <mergeCell ref="A10:H10"/>
    <mergeCell ref="A8:H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1CA7-8F33-4BF7-A6AF-DC90DFC65DA1}">
  <sheetPr>
    <pageSetUpPr fitToPage="1"/>
  </sheetPr>
  <dimension ref="A8:Y968"/>
  <sheetViews>
    <sheetView workbookViewId="0">
      <selection activeCell="E22" sqref="E22"/>
    </sheetView>
  </sheetViews>
  <sheetFormatPr baseColWidth="10" defaultColWidth="14.44140625" defaultRowHeight="15" customHeight="1" x14ac:dyDescent="0.3"/>
  <cols>
    <col min="1" max="1" width="31" customWidth="1"/>
    <col min="2" max="2" width="41.33203125" bestFit="1" customWidth="1"/>
    <col min="3" max="4" width="8.33203125" customWidth="1"/>
    <col min="5" max="5" width="8.88671875" customWidth="1"/>
    <col min="6" max="6" width="18.44140625" customWidth="1"/>
    <col min="7" max="7" width="7.77734375" bestFit="1" customWidth="1"/>
    <col min="8" max="9" width="11.5546875" customWidth="1"/>
    <col min="10" max="25" width="10.6640625" customWidth="1"/>
  </cols>
  <sheetData>
    <row r="8" spans="1:25" ht="23.4" x14ac:dyDescent="0.45">
      <c r="A8" s="36" t="s">
        <v>58</v>
      </c>
      <c r="B8" s="36"/>
      <c r="C8" s="36"/>
      <c r="D8" s="36"/>
      <c r="E8" s="36"/>
      <c r="F8" s="36"/>
      <c r="G8" s="36"/>
      <c r="H8" s="36"/>
    </row>
    <row r="10" spans="1:25" ht="13.5" customHeight="1" x14ac:dyDescent="0.3">
      <c r="A10" s="37" t="s">
        <v>76</v>
      </c>
      <c r="B10" s="37"/>
      <c r="C10" s="37"/>
      <c r="D10" s="37"/>
      <c r="E10" s="37"/>
      <c r="F10" s="37"/>
      <c r="G10" s="37"/>
      <c r="H10" s="3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5" customHeight="1" x14ac:dyDescent="0.3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3">
      <c r="A12" s="24" t="s">
        <v>75</v>
      </c>
      <c r="B12" s="24"/>
      <c r="C12" s="24"/>
      <c r="D12" s="24"/>
      <c r="E12" s="24"/>
      <c r="F12" s="24"/>
      <c r="G12" s="25"/>
      <c r="H12" s="2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5" customHeight="1" x14ac:dyDescent="0.3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34" t="s">
        <v>6</v>
      </c>
      <c r="G13" s="18" t="s">
        <v>55</v>
      </c>
      <c r="H13" s="20" t="s">
        <v>56</v>
      </c>
      <c r="I13" s="5" t="s">
        <v>78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5" customHeight="1" x14ac:dyDescent="0.3">
      <c r="A14" s="7" t="s">
        <v>62</v>
      </c>
      <c r="B14" s="7" t="s">
        <v>70</v>
      </c>
      <c r="C14" s="7">
        <v>90</v>
      </c>
      <c r="D14" s="8">
        <v>2.6</v>
      </c>
      <c r="E14" s="35">
        <v>3.9</v>
      </c>
      <c r="F14" s="33">
        <v>3770031864816</v>
      </c>
      <c r="G14" s="18"/>
      <c r="H14" s="20">
        <f t="shared" ref="H14:H16" si="0">D14*G14</f>
        <v>0</v>
      </c>
      <c r="I14" s="7" t="s">
        <v>79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5" customHeight="1" x14ac:dyDescent="0.3">
      <c r="A15" s="7" t="s">
        <v>61</v>
      </c>
      <c r="B15" s="7" t="s">
        <v>65</v>
      </c>
      <c r="C15" s="7">
        <v>90</v>
      </c>
      <c r="D15" s="8">
        <v>2.6</v>
      </c>
      <c r="E15" s="35">
        <v>3.9</v>
      </c>
      <c r="F15" s="33">
        <v>3770031864809</v>
      </c>
      <c r="G15" s="18"/>
      <c r="H15" s="20">
        <f t="shared" si="0"/>
        <v>0</v>
      </c>
      <c r="I15" s="7" t="s">
        <v>77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5" customHeight="1" x14ac:dyDescent="0.3">
      <c r="A16" s="7" t="s">
        <v>63</v>
      </c>
      <c r="B16" s="7" t="s">
        <v>80</v>
      </c>
      <c r="C16" s="7">
        <v>90</v>
      </c>
      <c r="D16" s="8">
        <v>2.6</v>
      </c>
      <c r="E16" s="35">
        <v>3.9</v>
      </c>
      <c r="F16" s="33">
        <v>3770031864793</v>
      </c>
      <c r="G16" s="19"/>
      <c r="H16" s="21">
        <f t="shared" si="0"/>
        <v>0</v>
      </c>
      <c r="I16" s="7" t="s">
        <v>81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5" customHeight="1" x14ac:dyDescent="0.3">
      <c r="A17" s="7" t="s">
        <v>60</v>
      </c>
      <c r="B17" s="7" t="s">
        <v>64</v>
      </c>
      <c r="C17" s="7">
        <v>90</v>
      </c>
      <c r="D17" s="8">
        <v>2.6</v>
      </c>
      <c r="E17" s="35">
        <v>3.9</v>
      </c>
      <c r="F17" s="33">
        <v>3770031864823</v>
      </c>
      <c r="G17" s="18"/>
      <c r="H17" s="20">
        <f>D17*G17</f>
        <v>0</v>
      </c>
      <c r="I17" s="7" t="s">
        <v>82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5" customHeight="1" x14ac:dyDescent="0.3">
      <c r="A18" s="7" t="s">
        <v>71</v>
      </c>
      <c r="B18" s="7" t="s">
        <v>72</v>
      </c>
      <c r="C18" s="7">
        <v>80</v>
      </c>
      <c r="D18" s="8">
        <v>2.6</v>
      </c>
      <c r="E18" s="35">
        <v>3.9</v>
      </c>
      <c r="F18" s="33">
        <v>3770031864830</v>
      </c>
      <c r="G18" s="18"/>
      <c r="H18" s="20">
        <f>D18*G18</f>
        <v>0</v>
      </c>
      <c r="I18" s="7" t="s">
        <v>83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3.5" customHeight="1" x14ac:dyDescent="0.3">
      <c r="A19" s="7" t="s">
        <v>73</v>
      </c>
      <c r="B19" s="7" t="s">
        <v>74</v>
      </c>
      <c r="C19" s="7">
        <v>80</v>
      </c>
      <c r="D19" s="8">
        <v>2.6</v>
      </c>
      <c r="E19" s="35">
        <v>3.9</v>
      </c>
      <c r="F19" s="33">
        <v>3770031864786</v>
      </c>
      <c r="G19" s="19"/>
      <c r="H19" s="21">
        <f>D19*G19</f>
        <v>0</v>
      </c>
      <c r="I19" s="7" t="s">
        <v>84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1" spans="1:25" ht="13.5" customHeight="1" x14ac:dyDescent="0.3">
      <c r="A21" s="2"/>
      <c r="B21" s="2"/>
      <c r="C21" s="2"/>
      <c r="D21" s="2"/>
      <c r="E21" s="2"/>
      <c r="F21" s="3"/>
      <c r="G21" s="2"/>
      <c r="H21" s="32">
        <f>SUM(H14:H16)</f>
        <v>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5" customHeight="1" x14ac:dyDescent="0.3">
      <c r="A22" s="24" t="s">
        <v>57</v>
      </c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5" customHeight="1" x14ac:dyDescent="0.3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5" customHeight="1" x14ac:dyDescent="0.3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5" customHeight="1" x14ac:dyDescent="0.3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5" customHeight="1" x14ac:dyDescent="0.3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5" customHeight="1" x14ac:dyDescent="0.3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5" customHeight="1" x14ac:dyDescent="0.3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5" customHeight="1" x14ac:dyDescent="0.3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5" customHeight="1" x14ac:dyDescent="0.3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5" customHeight="1" x14ac:dyDescent="0.3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5" customHeight="1" x14ac:dyDescent="0.3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5" customHeight="1" x14ac:dyDescent="0.3">
      <c r="A33" s="2"/>
      <c r="B33" s="2"/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5" customHeight="1" x14ac:dyDescent="0.3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5" customHeight="1" x14ac:dyDescent="0.3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5" customHeight="1" x14ac:dyDescent="0.3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5" customHeight="1" x14ac:dyDescent="0.3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5" customHeight="1" x14ac:dyDescent="0.3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5" customHeight="1" x14ac:dyDescent="0.3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5" customHeight="1" x14ac:dyDescent="0.3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5" customHeight="1" x14ac:dyDescent="0.3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5" customHeight="1" x14ac:dyDescent="0.3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5" customHeight="1" x14ac:dyDescent="0.3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5" customHeight="1" x14ac:dyDescent="0.3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5" customHeight="1" x14ac:dyDescent="0.3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5" customHeight="1" x14ac:dyDescent="0.3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5" customHeight="1" x14ac:dyDescent="0.3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5" customHeight="1" x14ac:dyDescent="0.3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5" customHeight="1" x14ac:dyDescent="0.3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5" customHeight="1" x14ac:dyDescent="0.3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5" customHeight="1" x14ac:dyDescent="0.3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5" customHeight="1" x14ac:dyDescent="0.3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5" customHeight="1" x14ac:dyDescent="0.3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5" customHeight="1" x14ac:dyDescent="0.3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5" customHeight="1" x14ac:dyDescent="0.3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5" customHeight="1" x14ac:dyDescent="0.3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5" customHeight="1" x14ac:dyDescent="0.3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5" customHeight="1" x14ac:dyDescent="0.3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5" customHeight="1" x14ac:dyDescent="0.3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5" customHeight="1" x14ac:dyDescent="0.3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5" customHeight="1" x14ac:dyDescent="0.3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5" customHeight="1" x14ac:dyDescent="0.3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5" customHeight="1" x14ac:dyDescent="0.3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5" customHeight="1" x14ac:dyDescent="0.3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5" customHeight="1" x14ac:dyDescent="0.3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5" customHeight="1" x14ac:dyDescent="0.3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5" customHeight="1" x14ac:dyDescent="0.3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5" customHeight="1" x14ac:dyDescent="0.3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5" customHeight="1" x14ac:dyDescent="0.3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5" customHeight="1" x14ac:dyDescent="0.3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5" customHeight="1" x14ac:dyDescent="0.3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5" customHeight="1" x14ac:dyDescent="0.3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5" customHeight="1" x14ac:dyDescent="0.3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5" customHeight="1" x14ac:dyDescent="0.3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5" customHeight="1" x14ac:dyDescent="0.3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5" customHeight="1" x14ac:dyDescent="0.3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5" customHeight="1" x14ac:dyDescent="0.3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5" customHeight="1" x14ac:dyDescent="0.3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5" customHeight="1" x14ac:dyDescent="0.3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5" customHeight="1" x14ac:dyDescent="0.3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5" customHeight="1" x14ac:dyDescent="0.3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5" customHeight="1" x14ac:dyDescent="0.3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5" customHeight="1" x14ac:dyDescent="0.3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5" customHeight="1" x14ac:dyDescent="0.3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5" customHeight="1" x14ac:dyDescent="0.3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5" customHeight="1" x14ac:dyDescent="0.3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5" customHeight="1" x14ac:dyDescent="0.3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5" customHeight="1" x14ac:dyDescent="0.3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5" customHeight="1" x14ac:dyDescent="0.3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5" customHeight="1" x14ac:dyDescent="0.3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5" customHeight="1" x14ac:dyDescent="0.3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5" customHeight="1" x14ac:dyDescent="0.3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5" customHeight="1" x14ac:dyDescent="0.3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5" customHeight="1" x14ac:dyDescent="0.3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5" customHeight="1" x14ac:dyDescent="0.3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5" customHeight="1" x14ac:dyDescent="0.3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5" customHeight="1" x14ac:dyDescent="0.3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5" customHeight="1" x14ac:dyDescent="0.3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5" customHeight="1" x14ac:dyDescent="0.3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5" customHeight="1" x14ac:dyDescent="0.3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5" customHeight="1" x14ac:dyDescent="0.3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5" customHeight="1" x14ac:dyDescent="0.3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5" customHeight="1" x14ac:dyDescent="0.3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5" customHeight="1" x14ac:dyDescent="0.3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5" customHeight="1" x14ac:dyDescent="0.3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5" customHeight="1" x14ac:dyDescent="0.3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5" customHeight="1" x14ac:dyDescent="0.3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5" customHeight="1" x14ac:dyDescent="0.3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5" customHeight="1" x14ac:dyDescent="0.3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5" customHeight="1" x14ac:dyDescent="0.3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5" customHeight="1" x14ac:dyDescent="0.3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5" customHeight="1" x14ac:dyDescent="0.3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5" customHeight="1" x14ac:dyDescent="0.3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5" customHeight="1" x14ac:dyDescent="0.3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5" customHeight="1" x14ac:dyDescent="0.3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5" customHeight="1" x14ac:dyDescent="0.3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5" customHeight="1" x14ac:dyDescent="0.3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5" customHeight="1" x14ac:dyDescent="0.3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5" customHeight="1" x14ac:dyDescent="0.3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5" customHeight="1" x14ac:dyDescent="0.3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5" customHeight="1" x14ac:dyDescent="0.3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5" customHeight="1" x14ac:dyDescent="0.3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5" customHeight="1" x14ac:dyDescent="0.3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5" customHeight="1" x14ac:dyDescent="0.3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5" customHeight="1" x14ac:dyDescent="0.3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5" customHeight="1" x14ac:dyDescent="0.3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5" customHeight="1" x14ac:dyDescent="0.3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5" customHeight="1" x14ac:dyDescent="0.3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5" customHeight="1" x14ac:dyDescent="0.3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5" customHeight="1" x14ac:dyDescent="0.3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5" customHeight="1" x14ac:dyDescent="0.3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5" customHeight="1" x14ac:dyDescent="0.3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5" customHeight="1" x14ac:dyDescent="0.3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5" customHeight="1" x14ac:dyDescent="0.3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5" customHeight="1" x14ac:dyDescent="0.3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5" customHeight="1" x14ac:dyDescent="0.3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5" customHeight="1" x14ac:dyDescent="0.3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5" customHeight="1" x14ac:dyDescent="0.3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5" customHeight="1" x14ac:dyDescent="0.3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5" customHeight="1" x14ac:dyDescent="0.3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5" customHeight="1" x14ac:dyDescent="0.3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5" customHeight="1" x14ac:dyDescent="0.3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5" customHeight="1" x14ac:dyDescent="0.3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5" customHeight="1" x14ac:dyDescent="0.3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5" customHeight="1" x14ac:dyDescent="0.3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5" customHeight="1" x14ac:dyDescent="0.3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5" customHeight="1" x14ac:dyDescent="0.3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5" customHeight="1" x14ac:dyDescent="0.3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5" customHeight="1" x14ac:dyDescent="0.3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5" customHeight="1" x14ac:dyDescent="0.3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5" customHeight="1" x14ac:dyDescent="0.3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5" customHeight="1" x14ac:dyDescent="0.3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5" customHeight="1" x14ac:dyDescent="0.3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5" customHeight="1" x14ac:dyDescent="0.3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5" customHeight="1" x14ac:dyDescent="0.3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5" customHeight="1" x14ac:dyDescent="0.3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5" customHeight="1" x14ac:dyDescent="0.3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5" customHeight="1" x14ac:dyDescent="0.3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5" customHeight="1" x14ac:dyDescent="0.3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5" customHeight="1" x14ac:dyDescent="0.3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5" customHeight="1" x14ac:dyDescent="0.3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5" customHeight="1" x14ac:dyDescent="0.3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5" customHeight="1" x14ac:dyDescent="0.3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5" customHeight="1" x14ac:dyDescent="0.3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5" customHeight="1" x14ac:dyDescent="0.3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5" customHeight="1" x14ac:dyDescent="0.3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5" customHeight="1" x14ac:dyDescent="0.3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5" customHeight="1" x14ac:dyDescent="0.3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5" customHeight="1" x14ac:dyDescent="0.3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5" customHeight="1" x14ac:dyDescent="0.3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5" customHeight="1" x14ac:dyDescent="0.3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5" customHeight="1" x14ac:dyDescent="0.3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5" customHeight="1" x14ac:dyDescent="0.3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5" customHeight="1" x14ac:dyDescent="0.3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5" customHeight="1" x14ac:dyDescent="0.3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5" customHeight="1" x14ac:dyDescent="0.3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5" customHeight="1" x14ac:dyDescent="0.3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5" customHeight="1" x14ac:dyDescent="0.3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5" customHeight="1" x14ac:dyDescent="0.3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5" customHeight="1" x14ac:dyDescent="0.3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5" customHeight="1" x14ac:dyDescent="0.3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5" customHeight="1" x14ac:dyDescent="0.3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5" customHeight="1" x14ac:dyDescent="0.3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5" customHeight="1" x14ac:dyDescent="0.3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5" customHeight="1" x14ac:dyDescent="0.3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5" customHeight="1" x14ac:dyDescent="0.3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5" customHeight="1" x14ac:dyDescent="0.3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5" customHeight="1" x14ac:dyDescent="0.3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5" customHeight="1" x14ac:dyDescent="0.3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5" customHeight="1" x14ac:dyDescent="0.3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5" customHeight="1" x14ac:dyDescent="0.3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5" customHeight="1" x14ac:dyDescent="0.3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5" customHeight="1" x14ac:dyDescent="0.3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5" customHeight="1" x14ac:dyDescent="0.3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5" customHeight="1" x14ac:dyDescent="0.3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5" customHeight="1" x14ac:dyDescent="0.3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5" customHeight="1" x14ac:dyDescent="0.3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5" customHeight="1" x14ac:dyDescent="0.3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5" customHeight="1" x14ac:dyDescent="0.3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5" customHeight="1" x14ac:dyDescent="0.3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5" customHeight="1" x14ac:dyDescent="0.3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5" customHeight="1" x14ac:dyDescent="0.3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5" customHeight="1" x14ac:dyDescent="0.3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5" customHeight="1" x14ac:dyDescent="0.3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5" customHeight="1" x14ac:dyDescent="0.3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5" customHeight="1" x14ac:dyDescent="0.3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5" customHeight="1" x14ac:dyDescent="0.3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5" customHeight="1" x14ac:dyDescent="0.3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5" customHeight="1" x14ac:dyDescent="0.3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5" customHeight="1" x14ac:dyDescent="0.3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5" customHeight="1" x14ac:dyDescent="0.3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5" customHeight="1" x14ac:dyDescent="0.3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5" customHeight="1" x14ac:dyDescent="0.3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5" customHeight="1" x14ac:dyDescent="0.3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5" customHeight="1" x14ac:dyDescent="0.3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5" customHeight="1" x14ac:dyDescent="0.3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5" customHeight="1" x14ac:dyDescent="0.3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5" customHeight="1" x14ac:dyDescent="0.3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5" customHeight="1" x14ac:dyDescent="0.3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5" customHeight="1" x14ac:dyDescent="0.3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5" customHeight="1" x14ac:dyDescent="0.3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5" customHeight="1" x14ac:dyDescent="0.3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5" customHeight="1" x14ac:dyDescent="0.3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5" customHeight="1" x14ac:dyDescent="0.3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5" customHeight="1" x14ac:dyDescent="0.3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5" customHeight="1" x14ac:dyDescent="0.3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5" customHeight="1" x14ac:dyDescent="0.3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5" customHeight="1" x14ac:dyDescent="0.3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5" customHeight="1" x14ac:dyDescent="0.3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5" customHeight="1" x14ac:dyDescent="0.3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5" customHeight="1" x14ac:dyDescent="0.3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5" customHeight="1" x14ac:dyDescent="0.3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5" customHeight="1" x14ac:dyDescent="0.3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5" customHeight="1" x14ac:dyDescent="0.3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5" customHeight="1" x14ac:dyDescent="0.3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5" customHeight="1" x14ac:dyDescent="0.3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5" customHeight="1" x14ac:dyDescent="0.3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5" customHeight="1" x14ac:dyDescent="0.3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5" customHeight="1" x14ac:dyDescent="0.3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5" customHeight="1" x14ac:dyDescent="0.3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5" customHeight="1" x14ac:dyDescent="0.3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5" customHeight="1" x14ac:dyDescent="0.3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5" customHeight="1" x14ac:dyDescent="0.3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5" customHeight="1" x14ac:dyDescent="0.3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5" customHeight="1" x14ac:dyDescent="0.3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5" customHeight="1" x14ac:dyDescent="0.3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5" customHeight="1" x14ac:dyDescent="0.3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5" customHeight="1" x14ac:dyDescent="0.3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5" customHeight="1" x14ac:dyDescent="0.3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5" customHeight="1" x14ac:dyDescent="0.3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5" customHeight="1" x14ac:dyDescent="0.3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5" customHeight="1" x14ac:dyDescent="0.3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5" customHeight="1" x14ac:dyDescent="0.3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5" customHeight="1" x14ac:dyDescent="0.3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5" customHeight="1" x14ac:dyDescent="0.3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5" customHeight="1" x14ac:dyDescent="0.3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5" customHeight="1" x14ac:dyDescent="0.3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5" customHeight="1" x14ac:dyDescent="0.3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5" customHeight="1" x14ac:dyDescent="0.3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5" customHeight="1" x14ac:dyDescent="0.3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5" customHeight="1" x14ac:dyDescent="0.3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5" customHeight="1" x14ac:dyDescent="0.3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5" customHeight="1" x14ac:dyDescent="0.3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5" customHeight="1" x14ac:dyDescent="0.3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5" customHeight="1" x14ac:dyDescent="0.3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5" customHeight="1" x14ac:dyDescent="0.3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5" customHeight="1" x14ac:dyDescent="0.3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5" customHeight="1" x14ac:dyDescent="0.3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5" customHeight="1" x14ac:dyDescent="0.3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5" customHeight="1" x14ac:dyDescent="0.3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5" customHeight="1" x14ac:dyDescent="0.3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5" customHeight="1" x14ac:dyDescent="0.3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5" customHeight="1" x14ac:dyDescent="0.3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5" customHeight="1" x14ac:dyDescent="0.3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5" customHeight="1" x14ac:dyDescent="0.3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5" customHeight="1" x14ac:dyDescent="0.3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5" customHeight="1" x14ac:dyDescent="0.3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5" customHeight="1" x14ac:dyDescent="0.3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5" customHeight="1" x14ac:dyDescent="0.3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5" customHeight="1" x14ac:dyDescent="0.3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5" customHeight="1" x14ac:dyDescent="0.3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5" customHeight="1" x14ac:dyDescent="0.3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5" customHeight="1" x14ac:dyDescent="0.3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5" customHeight="1" x14ac:dyDescent="0.3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5" customHeight="1" x14ac:dyDescent="0.3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5" customHeight="1" x14ac:dyDescent="0.3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5" customHeight="1" x14ac:dyDescent="0.3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5" customHeight="1" x14ac:dyDescent="0.3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5" customHeight="1" x14ac:dyDescent="0.3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5" customHeight="1" x14ac:dyDescent="0.3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5" customHeight="1" x14ac:dyDescent="0.3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5" customHeight="1" x14ac:dyDescent="0.3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5" customHeight="1" x14ac:dyDescent="0.3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5" customHeight="1" x14ac:dyDescent="0.3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5" customHeight="1" x14ac:dyDescent="0.3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5" customHeight="1" x14ac:dyDescent="0.3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5" customHeight="1" x14ac:dyDescent="0.3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5" customHeight="1" x14ac:dyDescent="0.3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5" customHeight="1" x14ac:dyDescent="0.3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5" customHeight="1" x14ac:dyDescent="0.3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5" customHeight="1" x14ac:dyDescent="0.3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5" customHeight="1" x14ac:dyDescent="0.3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5" customHeight="1" x14ac:dyDescent="0.3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5" customHeight="1" x14ac:dyDescent="0.3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5" customHeight="1" x14ac:dyDescent="0.3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5" customHeight="1" x14ac:dyDescent="0.3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5" customHeight="1" x14ac:dyDescent="0.3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5" customHeight="1" x14ac:dyDescent="0.3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5" customHeight="1" x14ac:dyDescent="0.3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5" customHeight="1" x14ac:dyDescent="0.3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5" customHeight="1" x14ac:dyDescent="0.3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5" customHeight="1" x14ac:dyDescent="0.3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5" customHeight="1" x14ac:dyDescent="0.3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5" customHeight="1" x14ac:dyDescent="0.3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5" customHeight="1" x14ac:dyDescent="0.3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5" customHeight="1" x14ac:dyDescent="0.3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5" customHeight="1" x14ac:dyDescent="0.3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5" customHeight="1" x14ac:dyDescent="0.3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5" customHeight="1" x14ac:dyDescent="0.3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5" customHeight="1" x14ac:dyDescent="0.3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5" customHeight="1" x14ac:dyDescent="0.3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5" customHeight="1" x14ac:dyDescent="0.3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5" customHeight="1" x14ac:dyDescent="0.3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5" customHeight="1" x14ac:dyDescent="0.3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5" customHeight="1" x14ac:dyDescent="0.3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5" customHeight="1" x14ac:dyDescent="0.3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5" customHeight="1" x14ac:dyDescent="0.3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5" customHeight="1" x14ac:dyDescent="0.3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5" customHeight="1" x14ac:dyDescent="0.3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5" customHeight="1" x14ac:dyDescent="0.3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5" customHeight="1" x14ac:dyDescent="0.3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5" customHeight="1" x14ac:dyDescent="0.3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5" customHeight="1" x14ac:dyDescent="0.3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5" customHeight="1" x14ac:dyDescent="0.3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5" customHeight="1" x14ac:dyDescent="0.3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5" customHeight="1" x14ac:dyDescent="0.3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5" customHeight="1" x14ac:dyDescent="0.3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5" customHeight="1" x14ac:dyDescent="0.3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5" customHeight="1" x14ac:dyDescent="0.3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5" customHeight="1" x14ac:dyDescent="0.3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5" customHeight="1" x14ac:dyDescent="0.3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5" customHeight="1" x14ac:dyDescent="0.3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5" customHeight="1" x14ac:dyDescent="0.3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5" customHeight="1" x14ac:dyDescent="0.3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5" customHeight="1" x14ac:dyDescent="0.3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5" customHeight="1" x14ac:dyDescent="0.3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5" customHeight="1" x14ac:dyDescent="0.3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5" customHeight="1" x14ac:dyDescent="0.3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5" customHeight="1" x14ac:dyDescent="0.3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5" customHeight="1" x14ac:dyDescent="0.3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5" customHeight="1" x14ac:dyDescent="0.3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5" customHeight="1" x14ac:dyDescent="0.3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5" customHeight="1" x14ac:dyDescent="0.3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5" customHeight="1" x14ac:dyDescent="0.3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5" customHeight="1" x14ac:dyDescent="0.3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5" customHeight="1" x14ac:dyDescent="0.3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5" customHeight="1" x14ac:dyDescent="0.3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5" customHeight="1" x14ac:dyDescent="0.3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5" customHeight="1" x14ac:dyDescent="0.3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5" customHeight="1" x14ac:dyDescent="0.3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5" customHeight="1" x14ac:dyDescent="0.3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5" customHeight="1" x14ac:dyDescent="0.3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5" customHeight="1" x14ac:dyDescent="0.3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5" customHeight="1" x14ac:dyDescent="0.3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5" customHeight="1" x14ac:dyDescent="0.3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5" customHeight="1" x14ac:dyDescent="0.3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5" customHeight="1" x14ac:dyDescent="0.3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5" customHeight="1" x14ac:dyDescent="0.3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5" customHeight="1" x14ac:dyDescent="0.3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5" customHeight="1" x14ac:dyDescent="0.3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5" customHeight="1" x14ac:dyDescent="0.3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5" customHeight="1" x14ac:dyDescent="0.3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5" customHeight="1" x14ac:dyDescent="0.3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5" customHeight="1" x14ac:dyDescent="0.3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5" customHeight="1" x14ac:dyDescent="0.3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5" customHeight="1" x14ac:dyDescent="0.3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5" customHeight="1" x14ac:dyDescent="0.3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5" customHeight="1" x14ac:dyDescent="0.3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5" customHeight="1" x14ac:dyDescent="0.3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5" customHeight="1" x14ac:dyDescent="0.3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5" customHeight="1" x14ac:dyDescent="0.3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5" customHeight="1" x14ac:dyDescent="0.3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5" customHeight="1" x14ac:dyDescent="0.3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5" customHeight="1" x14ac:dyDescent="0.3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5" customHeight="1" x14ac:dyDescent="0.3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5" customHeight="1" x14ac:dyDescent="0.3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5" customHeight="1" x14ac:dyDescent="0.3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5" customHeight="1" x14ac:dyDescent="0.3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5" customHeight="1" x14ac:dyDescent="0.3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5" customHeight="1" x14ac:dyDescent="0.3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5" customHeight="1" x14ac:dyDescent="0.3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5" customHeight="1" x14ac:dyDescent="0.3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5" customHeight="1" x14ac:dyDescent="0.3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5" customHeight="1" x14ac:dyDescent="0.3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5" customHeight="1" x14ac:dyDescent="0.3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5" customHeight="1" x14ac:dyDescent="0.3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5" customHeight="1" x14ac:dyDescent="0.3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5" customHeight="1" x14ac:dyDescent="0.3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5" customHeight="1" x14ac:dyDescent="0.3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5" customHeight="1" x14ac:dyDescent="0.3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5" customHeight="1" x14ac:dyDescent="0.3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5" customHeight="1" x14ac:dyDescent="0.3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5" customHeight="1" x14ac:dyDescent="0.3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5" customHeight="1" x14ac:dyDescent="0.3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5" customHeight="1" x14ac:dyDescent="0.3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5" customHeight="1" x14ac:dyDescent="0.3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5" customHeight="1" x14ac:dyDescent="0.3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5" customHeight="1" x14ac:dyDescent="0.3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5" customHeight="1" x14ac:dyDescent="0.3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5" customHeight="1" x14ac:dyDescent="0.3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5" customHeight="1" x14ac:dyDescent="0.3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5" customHeight="1" x14ac:dyDescent="0.3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5" customHeight="1" x14ac:dyDescent="0.3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5" customHeight="1" x14ac:dyDescent="0.3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5" customHeight="1" x14ac:dyDescent="0.3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5" customHeight="1" x14ac:dyDescent="0.3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5" customHeight="1" x14ac:dyDescent="0.3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5" customHeight="1" x14ac:dyDescent="0.3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5" customHeight="1" x14ac:dyDescent="0.3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5" customHeight="1" x14ac:dyDescent="0.3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5" customHeight="1" x14ac:dyDescent="0.3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5" customHeight="1" x14ac:dyDescent="0.3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5" customHeight="1" x14ac:dyDescent="0.3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5" customHeight="1" x14ac:dyDescent="0.3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5" customHeight="1" x14ac:dyDescent="0.3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5" customHeight="1" x14ac:dyDescent="0.3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5" customHeight="1" x14ac:dyDescent="0.3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5" customHeight="1" x14ac:dyDescent="0.3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5" customHeight="1" x14ac:dyDescent="0.3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5" customHeight="1" x14ac:dyDescent="0.3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5" customHeight="1" x14ac:dyDescent="0.3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5" customHeight="1" x14ac:dyDescent="0.3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5" customHeight="1" x14ac:dyDescent="0.3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5" customHeight="1" x14ac:dyDescent="0.3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5" customHeight="1" x14ac:dyDescent="0.3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5" customHeight="1" x14ac:dyDescent="0.3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5" customHeight="1" x14ac:dyDescent="0.3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5" customHeight="1" x14ac:dyDescent="0.3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5" customHeight="1" x14ac:dyDescent="0.3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5" customHeight="1" x14ac:dyDescent="0.3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5" customHeight="1" x14ac:dyDescent="0.3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5" customHeight="1" x14ac:dyDescent="0.3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5" customHeight="1" x14ac:dyDescent="0.3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5" customHeight="1" x14ac:dyDescent="0.3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5" customHeight="1" x14ac:dyDescent="0.3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5" customHeight="1" x14ac:dyDescent="0.3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5" customHeight="1" x14ac:dyDescent="0.3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5" customHeight="1" x14ac:dyDescent="0.3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5" customHeight="1" x14ac:dyDescent="0.3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5" customHeight="1" x14ac:dyDescent="0.3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5" customHeight="1" x14ac:dyDescent="0.3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5" customHeight="1" x14ac:dyDescent="0.3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5" customHeight="1" x14ac:dyDescent="0.3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5" customHeight="1" x14ac:dyDescent="0.3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5" customHeight="1" x14ac:dyDescent="0.3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5" customHeight="1" x14ac:dyDescent="0.3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5" customHeight="1" x14ac:dyDescent="0.3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5" customHeight="1" x14ac:dyDescent="0.3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5" customHeight="1" x14ac:dyDescent="0.3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5" customHeight="1" x14ac:dyDescent="0.3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5" customHeight="1" x14ac:dyDescent="0.3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5" customHeight="1" x14ac:dyDescent="0.3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5" customHeight="1" x14ac:dyDescent="0.3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5" customHeight="1" x14ac:dyDescent="0.3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5" customHeight="1" x14ac:dyDescent="0.3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5" customHeight="1" x14ac:dyDescent="0.3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5" customHeight="1" x14ac:dyDescent="0.3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5" customHeight="1" x14ac:dyDescent="0.3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5" customHeight="1" x14ac:dyDescent="0.3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5" customHeight="1" x14ac:dyDescent="0.3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5" customHeight="1" x14ac:dyDescent="0.3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5" customHeight="1" x14ac:dyDescent="0.3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5" customHeight="1" x14ac:dyDescent="0.3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5" customHeight="1" x14ac:dyDescent="0.3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5" customHeight="1" x14ac:dyDescent="0.3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5" customHeight="1" x14ac:dyDescent="0.3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5" customHeight="1" x14ac:dyDescent="0.3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5" customHeight="1" x14ac:dyDescent="0.3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5" customHeight="1" x14ac:dyDescent="0.3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5" customHeight="1" x14ac:dyDescent="0.3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5" customHeight="1" x14ac:dyDescent="0.3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5" customHeight="1" x14ac:dyDescent="0.3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5" customHeight="1" x14ac:dyDescent="0.3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5" customHeight="1" x14ac:dyDescent="0.3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5" customHeight="1" x14ac:dyDescent="0.3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5" customHeight="1" x14ac:dyDescent="0.3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5" customHeight="1" x14ac:dyDescent="0.3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5" customHeight="1" x14ac:dyDescent="0.3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5" customHeight="1" x14ac:dyDescent="0.3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5" customHeight="1" x14ac:dyDescent="0.3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5" customHeight="1" x14ac:dyDescent="0.3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5" customHeight="1" x14ac:dyDescent="0.3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5" customHeight="1" x14ac:dyDescent="0.3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5" customHeight="1" x14ac:dyDescent="0.3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5" customHeight="1" x14ac:dyDescent="0.3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5" customHeight="1" x14ac:dyDescent="0.3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5" customHeight="1" x14ac:dyDescent="0.3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5" customHeight="1" x14ac:dyDescent="0.3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5" customHeight="1" x14ac:dyDescent="0.3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5" customHeight="1" x14ac:dyDescent="0.3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5" customHeight="1" x14ac:dyDescent="0.3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5" customHeight="1" x14ac:dyDescent="0.3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5" customHeight="1" x14ac:dyDescent="0.3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5" customHeight="1" x14ac:dyDescent="0.3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5" customHeight="1" x14ac:dyDescent="0.3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5" customHeight="1" x14ac:dyDescent="0.3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5" customHeight="1" x14ac:dyDescent="0.3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5" customHeight="1" x14ac:dyDescent="0.3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5" customHeight="1" x14ac:dyDescent="0.3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5" customHeight="1" x14ac:dyDescent="0.3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5" customHeight="1" x14ac:dyDescent="0.3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5" customHeight="1" x14ac:dyDescent="0.3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5" customHeight="1" x14ac:dyDescent="0.3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5" customHeight="1" x14ac:dyDescent="0.3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5" customHeight="1" x14ac:dyDescent="0.3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5" customHeight="1" x14ac:dyDescent="0.3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5" customHeight="1" x14ac:dyDescent="0.3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5" customHeight="1" x14ac:dyDescent="0.3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5" customHeight="1" x14ac:dyDescent="0.3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5" customHeight="1" x14ac:dyDescent="0.3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5" customHeight="1" x14ac:dyDescent="0.3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5" customHeight="1" x14ac:dyDescent="0.3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5" customHeight="1" x14ac:dyDescent="0.3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5" customHeight="1" x14ac:dyDescent="0.3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5" customHeight="1" x14ac:dyDescent="0.3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5" customHeight="1" x14ac:dyDescent="0.3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5" customHeight="1" x14ac:dyDescent="0.3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5" customHeight="1" x14ac:dyDescent="0.3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5" customHeight="1" x14ac:dyDescent="0.3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5" customHeight="1" x14ac:dyDescent="0.3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5" customHeight="1" x14ac:dyDescent="0.3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5" customHeight="1" x14ac:dyDescent="0.3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5" customHeight="1" x14ac:dyDescent="0.3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5" customHeight="1" x14ac:dyDescent="0.3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5" customHeight="1" x14ac:dyDescent="0.3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5" customHeight="1" x14ac:dyDescent="0.3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5" customHeight="1" x14ac:dyDescent="0.3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5" customHeight="1" x14ac:dyDescent="0.3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5" customHeight="1" x14ac:dyDescent="0.3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5" customHeight="1" x14ac:dyDescent="0.3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5" customHeight="1" x14ac:dyDescent="0.3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5" customHeight="1" x14ac:dyDescent="0.3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5" customHeight="1" x14ac:dyDescent="0.3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5" customHeight="1" x14ac:dyDescent="0.3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5" customHeight="1" x14ac:dyDescent="0.3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5" customHeight="1" x14ac:dyDescent="0.3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5" customHeight="1" x14ac:dyDescent="0.3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5" customHeight="1" x14ac:dyDescent="0.3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5" customHeight="1" x14ac:dyDescent="0.3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5" customHeight="1" x14ac:dyDescent="0.3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5" customHeight="1" x14ac:dyDescent="0.3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5" customHeight="1" x14ac:dyDescent="0.3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5" customHeight="1" x14ac:dyDescent="0.3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5" customHeight="1" x14ac:dyDescent="0.3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5" customHeight="1" x14ac:dyDescent="0.3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5" customHeight="1" x14ac:dyDescent="0.3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5" customHeight="1" x14ac:dyDescent="0.3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5" customHeight="1" x14ac:dyDescent="0.3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5" customHeight="1" x14ac:dyDescent="0.3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5" customHeight="1" x14ac:dyDescent="0.3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5" customHeight="1" x14ac:dyDescent="0.3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5" customHeight="1" x14ac:dyDescent="0.3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5" customHeight="1" x14ac:dyDescent="0.3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5" customHeight="1" x14ac:dyDescent="0.3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5" customHeight="1" x14ac:dyDescent="0.3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5" customHeight="1" x14ac:dyDescent="0.3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5" customHeight="1" x14ac:dyDescent="0.3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5" customHeight="1" x14ac:dyDescent="0.3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5" customHeight="1" x14ac:dyDescent="0.3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5" customHeight="1" x14ac:dyDescent="0.3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5" customHeight="1" x14ac:dyDescent="0.3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5" customHeight="1" x14ac:dyDescent="0.3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5" customHeight="1" x14ac:dyDescent="0.3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5" customHeight="1" x14ac:dyDescent="0.3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5" customHeight="1" x14ac:dyDescent="0.3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5" customHeight="1" x14ac:dyDescent="0.3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5" customHeight="1" x14ac:dyDescent="0.3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5" customHeight="1" x14ac:dyDescent="0.3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5" customHeight="1" x14ac:dyDescent="0.3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5" customHeight="1" x14ac:dyDescent="0.3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5" customHeight="1" x14ac:dyDescent="0.3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5" customHeight="1" x14ac:dyDescent="0.3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5" customHeight="1" x14ac:dyDescent="0.3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5" customHeight="1" x14ac:dyDescent="0.3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5" customHeight="1" x14ac:dyDescent="0.3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5" customHeight="1" x14ac:dyDescent="0.3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5" customHeight="1" x14ac:dyDescent="0.3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5" customHeight="1" x14ac:dyDescent="0.3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5" customHeight="1" x14ac:dyDescent="0.3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5" customHeight="1" x14ac:dyDescent="0.3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5" customHeight="1" x14ac:dyDescent="0.3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5" customHeight="1" x14ac:dyDescent="0.3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5" customHeight="1" x14ac:dyDescent="0.3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5" customHeight="1" x14ac:dyDescent="0.3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5" customHeight="1" x14ac:dyDescent="0.3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5" customHeight="1" x14ac:dyDescent="0.3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5" customHeight="1" x14ac:dyDescent="0.3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5" customHeight="1" x14ac:dyDescent="0.3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5" customHeight="1" x14ac:dyDescent="0.3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5" customHeight="1" x14ac:dyDescent="0.3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5" customHeight="1" x14ac:dyDescent="0.3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5" customHeight="1" x14ac:dyDescent="0.3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5" customHeight="1" x14ac:dyDescent="0.3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5" customHeight="1" x14ac:dyDescent="0.3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5" customHeight="1" x14ac:dyDescent="0.3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5" customHeight="1" x14ac:dyDescent="0.3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5" customHeight="1" x14ac:dyDescent="0.3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5" customHeight="1" x14ac:dyDescent="0.3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5" customHeight="1" x14ac:dyDescent="0.3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5" customHeight="1" x14ac:dyDescent="0.3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5" customHeight="1" x14ac:dyDescent="0.3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5" customHeight="1" x14ac:dyDescent="0.3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5" customHeight="1" x14ac:dyDescent="0.3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5" customHeight="1" x14ac:dyDescent="0.3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5" customHeight="1" x14ac:dyDescent="0.3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5" customHeight="1" x14ac:dyDescent="0.3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5" customHeight="1" x14ac:dyDescent="0.3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5" customHeight="1" x14ac:dyDescent="0.3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5" customHeight="1" x14ac:dyDescent="0.3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5" customHeight="1" x14ac:dyDescent="0.3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5" customHeight="1" x14ac:dyDescent="0.3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5" customHeight="1" x14ac:dyDescent="0.3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5" customHeight="1" x14ac:dyDescent="0.3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5" customHeight="1" x14ac:dyDescent="0.3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5" customHeight="1" x14ac:dyDescent="0.3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5" customHeight="1" x14ac:dyDescent="0.3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5" customHeight="1" x14ac:dyDescent="0.3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5" customHeight="1" x14ac:dyDescent="0.3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5" customHeight="1" x14ac:dyDescent="0.3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5" customHeight="1" x14ac:dyDescent="0.3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5" customHeight="1" x14ac:dyDescent="0.3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5" customHeight="1" x14ac:dyDescent="0.3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5" customHeight="1" x14ac:dyDescent="0.3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5" customHeight="1" x14ac:dyDescent="0.3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5" customHeight="1" x14ac:dyDescent="0.3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5" customHeight="1" x14ac:dyDescent="0.3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5" customHeight="1" x14ac:dyDescent="0.3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5" customHeight="1" x14ac:dyDescent="0.3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5" customHeight="1" x14ac:dyDescent="0.3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5" customHeight="1" x14ac:dyDescent="0.3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5" customHeight="1" x14ac:dyDescent="0.3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5" customHeight="1" x14ac:dyDescent="0.3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5" customHeight="1" x14ac:dyDescent="0.3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5" customHeight="1" x14ac:dyDescent="0.3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5" customHeight="1" x14ac:dyDescent="0.3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5" customHeight="1" x14ac:dyDescent="0.3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5" customHeight="1" x14ac:dyDescent="0.3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5" customHeight="1" x14ac:dyDescent="0.3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5" customHeight="1" x14ac:dyDescent="0.3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5" customHeight="1" x14ac:dyDescent="0.3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5" customHeight="1" x14ac:dyDescent="0.3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5" customHeight="1" x14ac:dyDescent="0.3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5" customHeight="1" x14ac:dyDescent="0.3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5" customHeight="1" x14ac:dyDescent="0.3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5" customHeight="1" x14ac:dyDescent="0.3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5" customHeight="1" x14ac:dyDescent="0.3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5" customHeight="1" x14ac:dyDescent="0.3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5" customHeight="1" x14ac:dyDescent="0.3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5" customHeight="1" x14ac:dyDescent="0.3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5" customHeight="1" x14ac:dyDescent="0.3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5" customHeight="1" x14ac:dyDescent="0.3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5" customHeight="1" x14ac:dyDescent="0.3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5" customHeight="1" x14ac:dyDescent="0.3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5" customHeight="1" x14ac:dyDescent="0.3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5" customHeight="1" x14ac:dyDescent="0.3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5" customHeight="1" x14ac:dyDescent="0.3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5" customHeight="1" x14ac:dyDescent="0.3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5" customHeight="1" x14ac:dyDescent="0.3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5" customHeight="1" x14ac:dyDescent="0.3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5" customHeight="1" x14ac:dyDescent="0.3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5" customHeight="1" x14ac:dyDescent="0.3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5" customHeight="1" x14ac:dyDescent="0.3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5" customHeight="1" x14ac:dyDescent="0.3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5" customHeight="1" x14ac:dyDescent="0.3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5" customHeight="1" x14ac:dyDescent="0.3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5" customHeight="1" x14ac:dyDescent="0.3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5" customHeight="1" x14ac:dyDescent="0.3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5" customHeight="1" x14ac:dyDescent="0.3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5" customHeight="1" x14ac:dyDescent="0.3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5" customHeight="1" x14ac:dyDescent="0.3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5" customHeight="1" x14ac:dyDescent="0.3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5" customHeight="1" x14ac:dyDescent="0.3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5" customHeight="1" x14ac:dyDescent="0.3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5" customHeight="1" x14ac:dyDescent="0.3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5" customHeight="1" x14ac:dyDescent="0.3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5" customHeight="1" x14ac:dyDescent="0.3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5" customHeight="1" x14ac:dyDescent="0.3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5" customHeight="1" x14ac:dyDescent="0.3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5" customHeight="1" x14ac:dyDescent="0.3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5" customHeight="1" x14ac:dyDescent="0.3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5" customHeight="1" x14ac:dyDescent="0.3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5" customHeight="1" x14ac:dyDescent="0.3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5" customHeight="1" x14ac:dyDescent="0.3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5" customHeight="1" x14ac:dyDescent="0.3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5" customHeight="1" x14ac:dyDescent="0.3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5" customHeight="1" x14ac:dyDescent="0.3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5" customHeight="1" x14ac:dyDescent="0.3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5" customHeight="1" x14ac:dyDescent="0.3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5" customHeight="1" x14ac:dyDescent="0.3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5" customHeight="1" x14ac:dyDescent="0.3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5" customHeight="1" x14ac:dyDescent="0.3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5" customHeight="1" x14ac:dyDescent="0.3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5" customHeight="1" x14ac:dyDescent="0.3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5" customHeight="1" x14ac:dyDescent="0.3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5" customHeight="1" x14ac:dyDescent="0.3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5" customHeight="1" x14ac:dyDescent="0.3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5" customHeight="1" x14ac:dyDescent="0.3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5" customHeight="1" x14ac:dyDescent="0.3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5" customHeight="1" x14ac:dyDescent="0.3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5" customHeight="1" x14ac:dyDescent="0.3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5" customHeight="1" x14ac:dyDescent="0.3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5" customHeight="1" x14ac:dyDescent="0.3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5" customHeight="1" x14ac:dyDescent="0.3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5" customHeight="1" x14ac:dyDescent="0.3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5" customHeight="1" x14ac:dyDescent="0.3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5" customHeight="1" x14ac:dyDescent="0.3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5" customHeight="1" x14ac:dyDescent="0.3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5" customHeight="1" x14ac:dyDescent="0.3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5" customHeight="1" x14ac:dyDescent="0.3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5" customHeight="1" x14ac:dyDescent="0.3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5" customHeight="1" x14ac:dyDescent="0.3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5" customHeight="1" x14ac:dyDescent="0.3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5" customHeight="1" x14ac:dyDescent="0.3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5" customHeight="1" x14ac:dyDescent="0.3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5" customHeight="1" x14ac:dyDescent="0.3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5" customHeight="1" x14ac:dyDescent="0.3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5" customHeight="1" x14ac:dyDescent="0.3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5" customHeight="1" x14ac:dyDescent="0.3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5" customHeight="1" x14ac:dyDescent="0.3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5" customHeight="1" x14ac:dyDescent="0.3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5" customHeight="1" x14ac:dyDescent="0.3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5" customHeight="1" x14ac:dyDescent="0.3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5" customHeight="1" x14ac:dyDescent="0.3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5" customHeight="1" x14ac:dyDescent="0.3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5" customHeight="1" x14ac:dyDescent="0.3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5" customHeight="1" x14ac:dyDescent="0.3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5" customHeight="1" x14ac:dyDescent="0.3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5" customHeight="1" x14ac:dyDescent="0.3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5" customHeight="1" x14ac:dyDescent="0.3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5" customHeight="1" x14ac:dyDescent="0.3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5" customHeight="1" x14ac:dyDescent="0.3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5" customHeight="1" x14ac:dyDescent="0.3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5" customHeight="1" x14ac:dyDescent="0.3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5" customHeight="1" x14ac:dyDescent="0.3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5" customHeight="1" x14ac:dyDescent="0.3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5" customHeight="1" x14ac:dyDescent="0.3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5" customHeight="1" x14ac:dyDescent="0.3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5" customHeight="1" x14ac:dyDescent="0.3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5" customHeight="1" x14ac:dyDescent="0.3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5" customHeight="1" x14ac:dyDescent="0.3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5" customHeight="1" x14ac:dyDescent="0.3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5" customHeight="1" x14ac:dyDescent="0.3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5" customHeight="1" x14ac:dyDescent="0.3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5" customHeight="1" x14ac:dyDescent="0.3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5" customHeight="1" x14ac:dyDescent="0.3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5" customHeight="1" x14ac:dyDescent="0.3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5" customHeight="1" x14ac:dyDescent="0.3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5" customHeight="1" x14ac:dyDescent="0.3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5" customHeight="1" x14ac:dyDescent="0.3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5" customHeight="1" x14ac:dyDescent="0.3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5" customHeight="1" x14ac:dyDescent="0.3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5" customHeight="1" x14ac:dyDescent="0.3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5" customHeight="1" x14ac:dyDescent="0.3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5" customHeight="1" x14ac:dyDescent="0.3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5" customHeight="1" x14ac:dyDescent="0.3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5" customHeight="1" x14ac:dyDescent="0.3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5" customHeight="1" x14ac:dyDescent="0.3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5" customHeight="1" x14ac:dyDescent="0.3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5" customHeight="1" x14ac:dyDescent="0.3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5" customHeight="1" x14ac:dyDescent="0.3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5" customHeight="1" x14ac:dyDescent="0.3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5" customHeight="1" x14ac:dyDescent="0.3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5" customHeight="1" x14ac:dyDescent="0.3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5" customHeight="1" x14ac:dyDescent="0.3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5" customHeight="1" x14ac:dyDescent="0.3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5" customHeight="1" x14ac:dyDescent="0.3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5" customHeight="1" x14ac:dyDescent="0.3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5" customHeight="1" x14ac:dyDescent="0.3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5" customHeight="1" x14ac:dyDescent="0.3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5" customHeight="1" x14ac:dyDescent="0.3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5" customHeight="1" x14ac:dyDescent="0.3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5" customHeight="1" x14ac:dyDescent="0.3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5" customHeight="1" x14ac:dyDescent="0.3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5" customHeight="1" x14ac:dyDescent="0.3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5" customHeight="1" x14ac:dyDescent="0.3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5" customHeight="1" x14ac:dyDescent="0.3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5" customHeight="1" x14ac:dyDescent="0.3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5" customHeight="1" x14ac:dyDescent="0.3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5" customHeight="1" x14ac:dyDescent="0.3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5" customHeight="1" x14ac:dyDescent="0.3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5" customHeight="1" x14ac:dyDescent="0.3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5" customHeight="1" x14ac:dyDescent="0.3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5" customHeight="1" x14ac:dyDescent="0.3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5" customHeight="1" x14ac:dyDescent="0.3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5" customHeight="1" x14ac:dyDescent="0.3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5" customHeight="1" x14ac:dyDescent="0.3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5" customHeight="1" x14ac:dyDescent="0.3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5" customHeight="1" x14ac:dyDescent="0.3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5" customHeight="1" x14ac:dyDescent="0.3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5" customHeight="1" x14ac:dyDescent="0.3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5" customHeight="1" x14ac:dyDescent="0.3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5" customHeight="1" x14ac:dyDescent="0.3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5" customHeight="1" x14ac:dyDescent="0.3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5" customHeight="1" x14ac:dyDescent="0.3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5" customHeight="1" x14ac:dyDescent="0.3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5" customHeight="1" x14ac:dyDescent="0.3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5" customHeight="1" x14ac:dyDescent="0.3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5" customHeight="1" x14ac:dyDescent="0.3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5" customHeight="1" x14ac:dyDescent="0.3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5" customHeight="1" x14ac:dyDescent="0.3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5" customHeight="1" x14ac:dyDescent="0.3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5" customHeight="1" x14ac:dyDescent="0.3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5" customHeight="1" x14ac:dyDescent="0.3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5" customHeight="1" x14ac:dyDescent="0.3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5" customHeight="1" x14ac:dyDescent="0.3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5" customHeight="1" x14ac:dyDescent="0.3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5" customHeight="1" x14ac:dyDescent="0.3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5" customHeight="1" x14ac:dyDescent="0.3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5" customHeight="1" x14ac:dyDescent="0.3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5" customHeight="1" x14ac:dyDescent="0.3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5" customHeight="1" x14ac:dyDescent="0.3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5" customHeight="1" x14ac:dyDescent="0.3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5" customHeight="1" x14ac:dyDescent="0.3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5" customHeight="1" x14ac:dyDescent="0.3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5" customHeight="1" x14ac:dyDescent="0.3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5" customHeight="1" x14ac:dyDescent="0.3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5" customHeight="1" x14ac:dyDescent="0.3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5" customHeight="1" x14ac:dyDescent="0.3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5" customHeight="1" x14ac:dyDescent="0.3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5" customHeight="1" x14ac:dyDescent="0.3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5" customHeight="1" x14ac:dyDescent="0.3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5" customHeight="1" x14ac:dyDescent="0.3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5" customHeight="1" x14ac:dyDescent="0.3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5" customHeight="1" x14ac:dyDescent="0.3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5" customHeight="1" x14ac:dyDescent="0.3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5" customHeight="1" x14ac:dyDescent="0.3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5" customHeight="1" x14ac:dyDescent="0.3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5" customHeight="1" x14ac:dyDescent="0.3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5" customHeight="1" x14ac:dyDescent="0.3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5" customHeight="1" x14ac:dyDescent="0.3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5" customHeight="1" x14ac:dyDescent="0.3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5" customHeight="1" x14ac:dyDescent="0.3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5" customHeight="1" x14ac:dyDescent="0.3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5" customHeight="1" x14ac:dyDescent="0.3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5" customHeight="1" x14ac:dyDescent="0.3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5" customHeight="1" x14ac:dyDescent="0.3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5" customHeight="1" x14ac:dyDescent="0.3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5" customHeight="1" x14ac:dyDescent="0.3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5" customHeight="1" x14ac:dyDescent="0.3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5" customHeight="1" x14ac:dyDescent="0.3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5" customHeight="1" x14ac:dyDescent="0.3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5" customHeight="1" x14ac:dyDescent="0.3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5" customHeight="1" x14ac:dyDescent="0.3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5" customHeight="1" x14ac:dyDescent="0.3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5" customHeight="1" x14ac:dyDescent="0.3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5" customHeight="1" x14ac:dyDescent="0.3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5" customHeight="1" x14ac:dyDescent="0.3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5" customHeight="1" x14ac:dyDescent="0.3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5" customHeight="1" x14ac:dyDescent="0.3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5" customHeight="1" x14ac:dyDescent="0.3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5" customHeight="1" x14ac:dyDescent="0.3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5" customHeight="1" x14ac:dyDescent="0.3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5" customHeight="1" x14ac:dyDescent="0.3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5" customHeight="1" x14ac:dyDescent="0.3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5" customHeight="1" x14ac:dyDescent="0.3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5" customHeight="1" x14ac:dyDescent="0.3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5" customHeight="1" x14ac:dyDescent="0.3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5" customHeight="1" x14ac:dyDescent="0.3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5" customHeight="1" x14ac:dyDescent="0.3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5" customHeight="1" x14ac:dyDescent="0.3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5" customHeight="1" x14ac:dyDescent="0.3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5" customHeight="1" x14ac:dyDescent="0.3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5" customHeight="1" x14ac:dyDescent="0.3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5" customHeight="1" x14ac:dyDescent="0.3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5" customHeight="1" x14ac:dyDescent="0.3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5" customHeight="1" x14ac:dyDescent="0.3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5" customHeight="1" x14ac:dyDescent="0.3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5" customHeight="1" x14ac:dyDescent="0.3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5" customHeight="1" x14ac:dyDescent="0.3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5" customHeight="1" x14ac:dyDescent="0.3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5" customHeight="1" x14ac:dyDescent="0.3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5" customHeight="1" x14ac:dyDescent="0.3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5" customHeight="1" x14ac:dyDescent="0.3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5" customHeight="1" x14ac:dyDescent="0.3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5" customHeight="1" x14ac:dyDescent="0.3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5" customHeight="1" x14ac:dyDescent="0.3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5" customHeight="1" x14ac:dyDescent="0.3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5" customHeight="1" x14ac:dyDescent="0.3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5" customHeight="1" x14ac:dyDescent="0.3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5" customHeight="1" x14ac:dyDescent="0.3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5" customHeight="1" x14ac:dyDescent="0.3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5" customHeight="1" x14ac:dyDescent="0.3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5" customHeight="1" x14ac:dyDescent="0.3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5" customHeight="1" x14ac:dyDescent="0.3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5" customHeight="1" x14ac:dyDescent="0.3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5" customHeight="1" x14ac:dyDescent="0.3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5" customHeight="1" x14ac:dyDescent="0.3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5" customHeight="1" x14ac:dyDescent="0.3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5" customHeight="1" x14ac:dyDescent="0.3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5" customHeight="1" x14ac:dyDescent="0.3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5" customHeight="1" x14ac:dyDescent="0.3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5" customHeight="1" x14ac:dyDescent="0.3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5" customHeight="1" x14ac:dyDescent="0.3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5" customHeight="1" x14ac:dyDescent="0.3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5" customHeight="1" x14ac:dyDescent="0.3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5" customHeight="1" x14ac:dyDescent="0.3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5" customHeight="1" x14ac:dyDescent="0.3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5" customHeight="1" x14ac:dyDescent="0.3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5" customHeight="1" x14ac:dyDescent="0.3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5" customHeight="1" x14ac:dyDescent="0.3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5" customHeight="1" x14ac:dyDescent="0.3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5" customHeight="1" x14ac:dyDescent="0.3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5" customHeight="1" x14ac:dyDescent="0.3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5" customHeight="1" x14ac:dyDescent="0.3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5" customHeight="1" x14ac:dyDescent="0.3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5" customHeight="1" x14ac:dyDescent="0.3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5" customHeight="1" x14ac:dyDescent="0.3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5" customHeight="1" x14ac:dyDescent="0.3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5" customHeight="1" x14ac:dyDescent="0.3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5" customHeight="1" x14ac:dyDescent="0.3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5" customHeight="1" x14ac:dyDescent="0.3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5" customHeight="1" x14ac:dyDescent="0.3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5" customHeight="1" x14ac:dyDescent="0.3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5" customHeight="1" x14ac:dyDescent="0.3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5" customHeight="1" x14ac:dyDescent="0.3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5" customHeight="1" x14ac:dyDescent="0.3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5" customHeight="1" x14ac:dyDescent="0.3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5" customHeight="1" x14ac:dyDescent="0.3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5" customHeight="1" x14ac:dyDescent="0.3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5" customHeight="1" x14ac:dyDescent="0.3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5" customHeight="1" x14ac:dyDescent="0.3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5" customHeight="1" x14ac:dyDescent="0.3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5" customHeight="1" x14ac:dyDescent="0.3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5" customHeight="1" x14ac:dyDescent="0.3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5" customHeight="1" x14ac:dyDescent="0.3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5" customHeight="1" x14ac:dyDescent="0.3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5" customHeight="1" x14ac:dyDescent="0.3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5" customHeight="1" x14ac:dyDescent="0.3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5" customHeight="1" x14ac:dyDescent="0.3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5" customHeight="1" x14ac:dyDescent="0.3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5" customHeight="1" x14ac:dyDescent="0.3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5" customHeight="1" x14ac:dyDescent="0.3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5" customHeight="1" x14ac:dyDescent="0.3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5" customHeight="1" x14ac:dyDescent="0.3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5" customHeight="1" x14ac:dyDescent="0.3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5" customHeight="1" x14ac:dyDescent="0.3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5" customHeight="1" x14ac:dyDescent="0.3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5" customHeight="1" x14ac:dyDescent="0.3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5" customHeight="1" x14ac:dyDescent="0.3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5" customHeight="1" x14ac:dyDescent="0.3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5" customHeight="1" x14ac:dyDescent="0.3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5" customHeight="1" x14ac:dyDescent="0.3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5" customHeight="1" x14ac:dyDescent="0.3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5" customHeight="1" x14ac:dyDescent="0.3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5" customHeight="1" x14ac:dyDescent="0.3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5" customHeight="1" x14ac:dyDescent="0.3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5" customHeight="1" x14ac:dyDescent="0.3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5" customHeight="1" x14ac:dyDescent="0.3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5" customHeight="1" x14ac:dyDescent="0.3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5" customHeight="1" x14ac:dyDescent="0.3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5" customHeight="1" x14ac:dyDescent="0.3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5" customHeight="1" x14ac:dyDescent="0.3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5" customHeight="1" x14ac:dyDescent="0.3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5" customHeight="1" x14ac:dyDescent="0.3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5" customHeight="1" x14ac:dyDescent="0.3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5" customHeight="1" x14ac:dyDescent="0.3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5" customHeight="1" x14ac:dyDescent="0.3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5" customHeight="1" x14ac:dyDescent="0.3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</sheetData>
  <mergeCells count="2">
    <mergeCell ref="A8:H8"/>
    <mergeCell ref="A10:H10"/>
  </mergeCells>
  <phoneticPr fontId="2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Crackers aux graines</vt:lpstr>
      <vt:lpstr>TXIPS</vt:lpstr>
      <vt:lpstr>'Crackers aux graines'!Zone_d_impression</vt:lpstr>
      <vt:lpstr>TXIPS!Zone_d_impression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</dc:creator>
  <cp:lastModifiedBy>laurent desmarest</cp:lastModifiedBy>
  <cp:lastPrinted>2026-05-15T08:58:48Z</cp:lastPrinted>
  <dcterms:created xsi:type="dcterms:W3CDTF">2023-04-10T08:26:09Z</dcterms:created>
  <dcterms:modified xsi:type="dcterms:W3CDTF">2026-09-16T08:47:14Z</dcterms:modified>
</cp:coreProperties>
</file>